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Home" sheetId="1" state="visible" r:id="rId1"/>
    <sheet name="📖 RUF 101" sheetId="2" state="visible" r:id="rId2"/>
    <sheet name="📜 Project Statement" sheetId="3" state="visible" r:id="rId3"/>
    <sheet name="👥 Team List" sheetId="4" state="visible" r:id="rId4"/>
    <sheet name="🧭 Individual Accountab." sheetId="5" state="visible" r:id="rId5"/>
    <sheet name="⚠️ Risk Action Plan" sheetId="6" state="visible" r:id="rId6"/>
    <sheet name="✅ Actions" sheetId="7" state="visible" r:id="rId7"/>
    <sheet name="📅 Weekly Schedule" sheetId="8" state="visible" r:id="rId8"/>
    <sheet name="🤝 WAM Agenda &amp; Log" sheetId="9" state="visible" r:id="rId9"/>
    <sheet name="🚧 Issues Log" sheetId="10" state="visible" r:id="rId10"/>
    <sheet name="🧮 Decision Log" sheetId="11" state="visible" r:id="rId11"/>
    <sheet name="💸 Cost of Being Late" sheetId="12" state="visible" r:id="rId12"/>
    <sheet name="🗂 Accountability Matrix" sheetId="13" state="visible" r:id="rId13"/>
    <sheet name="💡 Opportunity Sheet" sheetId="14" state="visible" r:id="rId14"/>
    <sheet name="📊 Dashboard" sheetId="15" state="visible" r:id="rId15"/>
    <sheet name="🤖 AI · Framework Context" sheetId="16" state="visible" r:id="rId16"/>
    <sheet name="🤖 AI · Workbook Schema" sheetId="17" state="visible" r:id="rId17"/>
    <sheet name="🤖 AI · Transcript Ingestion" sheetId="18" state="visible" r:id="rId18"/>
    <sheet name="🤖 AI · Email Ingestion" sheetId="19" state="visible" r:id="rId19"/>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Narrow"/>
      <b val="1"/>
      <color rgb="00FFFFFF"/>
      <sz val="20"/>
    </font>
    <font>
      <name val="Aptos Narrow"/>
      <i val="1"/>
      <color rgb="00FFFFFF"/>
      <sz val="11"/>
    </font>
    <font>
      <name val="Aptos Narrow"/>
      <b val="1"/>
      <color rgb="00FFFFFF"/>
      <sz val="13"/>
    </font>
    <font>
      <name val="Aptos Narrow"/>
      <color rgb="001B1E3C"/>
      <sz val="11"/>
    </font>
    <font>
      <name val="Aptos Narrow"/>
      <b val="1"/>
      <color rgb="00FFFFFF"/>
      <sz val="10"/>
    </font>
    <font>
      <name val="Aptos Narrow"/>
      <color rgb="001B1E3C"/>
      <sz val="10"/>
    </font>
    <font>
      <name val="Aptos Narrow"/>
      <b val="1"/>
      <color rgb="000E7C66"/>
      <sz val="10"/>
    </font>
    <font>
      <name val="Aptos Narrow"/>
      <b val="1"/>
      <color rgb="000F6BB2"/>
      <sz val="10"/>
    </font>
    <font>
      <name val="Aptos Narrow"/>
      <b val="1"/>
      <color rgb="00B25309"/>
      <sz val="10"/>
    </font>
    <font>
      <name val="Aptos Narrow"/>
      <b val="1"/>
      <color rgb="008C2D6B"/>
      <sz val="10"/>
    </font>
    <font>
      <name val="Aptos Narrow"/>
      <b val="1"/>
      <color rgb="001B1E3C"/>
      <sz val="10"/>
    </font>
    <font>
      <name val="Aptos Narrow"/>
      <i val="1"/>
      <color rgb="005A5E7A"/>
      <sz val="9"/>
    </font>
    <font>
      <name val="Aptos Narrow"/>
      <b val="1"/>
      <color rgb="00FFFFFF"/>
      <sz val="11"/>
    </font>
    <font>
      <name val="Aptos Narrow"/>
      <i val="1"/>
      <color rgb="001B1E3C"/>
      <sz val="10"/>
    </font>
    <font>
      <name val="Aptos Narrow"/>
      <b val="1"/>
      <color rgb="00B25309"/>
      <sz val="11"/>
    </font>
    <font>
      <name val="Aptos Narrow"/>
      <b val="1"/>
      <color rgb="003D3A8C"/>
      <sz val="12"/>
    </font>
  </fonts>
  <fills count="14">
    <fill>
      <patternFill/>
    </fill>
    <fill>
      <patternFill patternType="gray125"/>
    </fill>
    <fill>
      <patternFill patternType="solid">
        <fgColor rgb="003D3A8C"/>
      </patternFill>
    </fill>
    <fill>
      <patternFill patternType="solid">
        <fgColor rgb="00FFFFFF"/>
      </patternFill>
    </fill>
    <fill>
      <patternFill patternType="solid">
        <fgColor rgb="000E7C66"/>
      </patternFill>
    </fill>
    <fill>
      <patternFill patternType="solid">
        <fgColor rgb="000F6BB2"/>
      </patternFill>
    </fill>
    <fill>
      <patternFill patternType="solid">
        <fgColor rgb="00B25309"/>
      </patternFill>
    </fill>
    <fill>
      <patternFill patternType="solid">
        <fgColor rgb="008C2D6B"/>
      </patternFill>
    </fill>
    <fill>
      <patternFill patternType="solid">
        <fgColor rgb="00C0392B"/>
      </patternFill>
    </fill>
    <fill>
      <patternFill patternType="solid">
        <fgColor rgb="005B21B6"/>
      </patternFill>
    </fill>
    <fill>
      <patternFill patternType="solid">
        <fgColor rgb="00E4F0FB"/>
      </patternFill>
    </fill>
    <fill>
      <patternFill patternType="solid">
        <fgColor rgb="00E4E7F5"/>
      </patternFill>
    </fill>
    <fill>
      <patternFill patternType="solid">
        <fgColor rgb="00B8860B"/>
      </patternFill>
    </fill>
    <fill>
      <patternFill patternType="solid">
        <fgColor rgb="001E8E3E"/>
      </patternFill>
    </fill>
  </fills>
  <borders count="15">
    <border>
      <left/>
      <right/>
      <top/>
      <bottom/>
      <diagonal/>
    </border>
    <border>
      <left style="thin">
        <color rgb="00C9CDE4"/>
      </left>
      <right style="thin">
        <color rgb="00C9CDE4"/>
      </right>
      <top style="thin">
        <color rgb="00C9CDE4"/>
      </top>
      <bottom style="thin">
        <color rgb="00C9CDE4"/>
      </bottom>
    </border>
    <border>
      <left style="medium">
        <color rgb="003D3A8C"/>
      </left>
    </border>
    <border/>
    <border>
      <left/>
      <right/>
      <top style="thin">
        <color rgb="00C9CDE4"/>
      </top>
      <bottom/>
      <diagonal/>
    </border>
    <border>
      <left/>
      <right style="thin">
        <color rgb="00C9CDE4"/>
      </right>
      <top style="thin">
        <color rgb="00C9CDE4"/>
      </top>
      <bottom/>
      <diagonal/>
    </border>
    <border>
      <left/>
      <right/>
      <top style="thin">
        <color rgb="00C9CDE4"/>
      </top>
      <bottom style="thin">
        <color rgb="00C9CDE4"/>
      </bottom>
      <diagonal/>
    </border>
    <border>
      <left/>
      <right style="thin">
        <color rgb="00C9CDE4"/>
      </right>
      <top style="thin">
        <color rgb="00C9CDE4"/>
      </top>
      <bottom style="thin">
        <color rgb="00C9CDE4"/>
      </bottom>
      <diagonal/>
    </border>
    <border>
      <left style="medium">
        <color rgb="008C2D6B"/>
      </left>
    </border>
    <border>
      <left style="medium">
        <color rgb="000E7C66"/>
      </left>
    </border>
    <border>
      <left style="medium">
        <color rgb="00C0392B"/>
      </left>
    </border>
    <border>
      <left style="medium">
        <color rgb="00B25309"/>
      </left>
    </border>
    <border>
      <left style="medium">
        <color rgb="000F6BB2"/>
      </left>
    </border>
    <border>
      <left style="medium">
        <color rgb="00B8860B"/>
      </left>
    </border>
    <border>
      <left style="medium">
        <color rgb="001E8E3E"/>
      </left>
    </border>
  </borders>
  <cellStyleXfs count="1">
    <xf numFmtId="0" fontId="0" fillId="0" borderId="0"/>
  </cellStyleXfs>
  <cellXfs count="91">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wrapText="1" indent="1"/>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10" fillId="3" borderId="1" applyAlignment="1" pivotButton="0" quotePrefix="0" xfId="0">
      <alignment horizontal="left" vertical="top" wrapText="1"/>
    </xf>
    <xf numFmtId="0" fontId="11" fillId="3" borderId="1" applyAlignment="1" pivotButton="0" quotePrefix="0" xfId="0">
      <alignment horizontal="left" vertical="top" wrapText="1"/>
    </xf>
    <xf numFmtId="0" fontId="5" fillId="4" borderId="0" pivotButton="0" quotePrefix="0" xfId="0"/>
    <xf numFmtId="0" fontId="6" fillId="0" borderId="0" pivotButton="0" quotePrefix="0" xfId="0"/>
    <xf numFmtId="0" fontId="5" fillId="5" borderId="0" pivotButton="0" quotePrefix="0" xfId="0"/>
    <xf numFmtId="0" fontId="5" fillId="6" borderId="0" pivotButton="0" quotePrefix="0" xfId="0"/>
    <xf numFmtId="0" fontId="5" fillId="7" borderId="0" pivotButton="0" quotePrefix="0" xfId="0"/>
    <xf numFmtId="0" fontId="5" fillId="8" borderId="0" pivotButton="0" quotePrefix="0" xfId="0"/>
    <xf numFmtId="0" fontId="5" fillId="9" borderId="0" pivotButton="0" quotePrefix="0" xfId="0"/>
    <xf numFmtId="0" fontId="6" fillId="0" borderId="0" applyAlignment="1" pivotButton="0" quotePrefix="0" xfId="0">
      <alignment horizontal="left" vertical="top" wrapText="1" indent="1"/>
    </xf>
    <xf numFmtId="0" fontId="12" fillId="0" borderId="0" applyAlignment="1" pivotButton="0" quotePrefix="0" xfId="0">
      <alignment horizontal="left" vertical="top" wrapText="1" indent="1"/>
    </xf>
    <xf numFmtId="0" fontId="13" fillId="4" borderId="1" applyAlignment="1" pivotButton="0" quotePrefix="0" xfId="0">
      <alignment horizontal="left" vertical="top" wrapText="1"/>
    </xf>
    <xf numFmtId="0" fontId="13" fillId="5" borderId="1" applyAlignment="1" pivotButton="0" quotePrefix="0" xfId="0">
      <alignment horizontal="left" vertical="top" wrapText="1"/>
    </xf>
    <xf numFmtId="0" fontId="13" fillId="6" borderId="1" applyAlignment="1" pivotButton="0" quotePrefix="0" xfId="0">
      <alignment horizontal="left" vertical="top" wrapText="1"/>
    </xf>
    <xf numFmtId="0" fontId="13" fillId="7" borderId="1" applyAlignment="1" pivotButton="0" quotePrefix="0" xfId="0">
      <alignment horizontal="left" vertical="top" wrapText="1"/>
    </xf>
    <xf numFmtId="0" fontId="3" fillId="8" borderId="0" applyAlignment="1" pivotButton="0" quotePrefix="0" xfId="0">
      <alignment horizontal="left" vertical="center" indent="1"/>
    </xf>
    <xf numFmtId="0" fontId="0" fillId="8" borderId="0" pivotButton="0" quotePrefix="0" xfId="0"/>
    <xf numFmtId="0" fontId="3" fillId="7" borderId="0" applyAlignment="1" pivotButton="0" quotePrefix="0" xfId="0">
      <alignment horizontal="left" vertical="center" indent="1"/>
    </xf>
    <xf numFmtId="0" fontId="0" fillId="7" borderId="0" pivotButton="0" quotePrefix="0" xfId="0"/>
    <xf numFmtId="0" fontId="3" fillId="5" borderId="0" applyAlignment="1" pivotButton="0" quotePrefix="0" xfId="0">
      <alignment horizontal="left" vertical="center" indent="1"/>
    </xf>
    <xf numFmtId="0" fontId="0" fillId="5" borderId="0" pivotButton="0" quotePrefix="0" xfId="0"/>
    <xf numFmtId="0" fontId="14" fillId="10" borderId="2" applyAlignment="1" pivotButton="0" quotePrefix="0" xfId="0">
      <alignment horizontal="left" vertical="top" wrapText="1" indent="1"/>
    </xf>
    <xf numFmtId="0" fontId="0" fillId="10" borderId="3" pivotButton="0" quotePrefix="0" xfId="0"/>
    <xf numFmtId="0" fontId="5" fillId="2" borderId="1" applyAlignment="1" pivotButton="0" quotePrefix="0" xfId="0">
      <alignment horizontal="left" vertical="top" wrapText="1" indent="1"/>
    </xf>
    <xf numFmtId="0" fontId="6" fillId="3" borderId="1" applyAlignment="1" pivotButton="0" quotePrefix="0" xfId="0">
      <alignment horizontal="left" vertical="top" wrapText="1" indent="1"/>
    </xf>
    <xf numFmtId="0" fontId="0" fillId="3" borderId="1" pivotButton="0" quotePrefix="0" xfId="0"/>
    <xf numFmtId="0" fontId="6" fillId="3" borderId="1" applyAlignment="1" pivotButton="0" quotePrefix="0" xfId="0">
      <alignment vertical="top" wrapText="1"/>
    </xf>
    <xf numFmtId="0" fontId="0" fillId="0" borderId="6" pivotButton="0" quotePrefix="0" xfId="0"/>
    <xf numFmtId="0" fontId="0" fillId="0" borderId="7" pivotButton="0" quotePrefix="0" xfId="0"/>
    <xf numFmtId="0" fontId="6" fillId="11" borderId="1" applyAlignment="1" pivotButton="0" quotePrefix="0" xfId="0">
      <alignment vertical="top" wrapText="1"/>
    </xf>
    <xf numFmtId="0" fontId="14" fillId="10" borderId="8" applyAlignment="1" pivotButton="0" quotePrefix="0" xfId="0">
      <alignment horizontal="left" vertical="top" wrapText="1" indent="1"/>
    </xf>
    <xf numFmtId="0" fontId="5" fillId="7" borderId="1" applyAlignment="1" pivotButton="0" quotePrefix="0" xfId="0">
      <alignment horizontal="center" vertical="center" wrapText="1"/>
    </xf>
    <xf numFmtId="0" fontId="1" fillId="4" borderId="0" applyAlignment="1" pivotButton="0" quotePrefix="0" xfId="0">
      <alignment horizontal="left" vertical="center" indent="1"/>
    </xf>
    <xf numFmtId="0" fontId="0" fillId="4" borderId="0" pivotButton="0" quotePrefix="0" xfId="0"/>
    <xf numFmtId="0" fontId="2" fillId="4" borderId="0" applyAlignment="1" pivotButton="0" quotePrefix="0" xfId="0">
      <alignment horizontal="left" vertical="center" wrapText="1" indent="1"/>
    </xf>
    <xf numFmtId="0" fontId="14" fillId="10" borderId="9" applyAlignment="1" pivotButton="0" quotePrefix="0" xfId="0">
      <alignment horizontal="left" vertical="top" wrapText="1" indent="1"/>
    </xf>
    <xf numFmtId="0" fontId="5" fillId="4" borderId="1" applyAlignment="1" pivotButton="0" quotePrefix="0" xfId="0">
      <alignment horizontal="center" vertical="center" wrapText="1"/>
    </xf>
    <xf numFmtId="0" fontId="3" fillId="4" borderId="0" applyAlignment="1" pivotButton="0" quotePrefix="0" xfId="0">
      <alignment horizontal="left" vertical="center" indent="1"/>
    </xf>
    <xf numFmtId="0" fontId="5" fillId="4" borderId="1" applyAlignment="1" pivotButton="0" quotePrefix="0" xfId="0">
      <alignment horizontal="left" vertical="top" wrapText="1" indent="1"/>
    </xf>
    <xf numFmtId="0" fontId="5" fillId="7" borderId="1" applyAlignment="1" pivotButton="0" quotePrefix="0" xfId="0">
      <alignment horizontal="left" vertical="top" wrapText="1" indent="1"/>
    </xf>
    <xf numFmtId="0" fontId="1" fillId="8" borderId="0" applyAlignment="1" pivotButton="0" quotePrefix="0" xfId="0">
      <alignment horizontal="left" vertical="center" indent="1"/>
    </xf>
    <xf numFmtId="0" fontId="2" fillId="8" borderId="0" applyAlignment="1" pivotButton="0" quotePrefix="0" xfId="0">
      <alignment horizontal="left" vertical="center" wrapText="1" indent="1"/>
    </xf>
    <xf numFmtId="0" fontId="14" fillId="10" borderId="10" applyAlignment="1" pivotButton="0" quotePrefix="0" xfId="0">
      <alignment horizontal="left" vertical="top" wrapText="1" indent="1"/>
    </xf>
    <xf numFmtId="0" fontId="5" fillId="8" borderId="1" applyAlignment="1" pivotButton="0" quotePrefix="0" xfId="0">
      <alignment horizontal="center" vertical="center" wrapText="1"/>
    </xf>
    <xf numFmtId="0" fontId="1" fillId="6" borderId="0" applyAlignment="1" pivotButton="0" quotePrefix="0" xfId="0">
      <alignment horizontal="left" vertical="center" indent="1"/>
    </xf>
    <xf numFmtId="0" fontId="0" fillId="6" borderId="0" pivotButton="0" quotePrefix="0" xfId="0"/>
    <xf numFmtId="0" fontId="2" fillId="6" borderId="0" applyAlignment="1" pivotButton="0" quotePrefix="0" xfId="0">
      <alignment horizontal="left" vertical="center" wrapText="1" indent="1"/>
    </xf>
    <xf numFmtId="0" fontId="14" fillId="10" borderId="11" applyAlignment="1" pivotButton="0" quotePrefix="0" xfId="0">
      <alignment horizontal="left" vertical="top" wrapText="1" indent="1"/>
    </xf>
    <xf numFmtId="0" fontId="5" fillId="6" borderId="1" applyAlignment="1" pivotButton="0" quotePrefix="0" xfId="0">
      <alignment horizontal="center" vertical="center" wrapText="1"/>
    </xf>
    <xf numFmtId="0" fontId="1" fillId="5" borderId="0" applyAlignment="1" pivotButton="0" quotePrefix="0" xfId="0">
      <alignment horizontal="left" vertical="center" indent="1"/>
    </xf>
    <xf numFmtId="0" fontId="2" fillId="5" borderId="0" applyAlignment="1" pivotButton="0" quotePrefix="0" xfId="0">
      <alignment horizontal="left" vertical="center" wrapText="1" indent="1"/>
    </xf>
    <xf numFmtId="0" fontId="14" fillId="10" borderId="12" applyAlignment="1" pivotButton="0" quotePrefix="0" xfId="0">
      <alignment horizontal="left" vertical="top" wrapText="1" indent="1"/>
    </xf>
    <xf numFmtId="0" fontId="5" fillId="5" borderId="1" applyAlignment="1" pivotButton="0" quotePrefix="0" xfId="0">
      <alignment horizontal="center" vertical="center" wrapText="1"/>
    </xf>
    <xf numFmtId="0" fontId="1" fillId="7" borderId="0" applyAlignment="1" pivotButton="0" quotePrefix="0" xfId="0">
      <alignment horizontal="left" vertical="center" indent="1"/>
    </xf>
    <xf numFmtId="0" fontId="2" fillId="7" borderId="0" applyAlignment="1" pivotButton="0" quotePrefix="0" xfId="0">
      <alignment horizontal="left" vertical="center" wrapText="1" indent="1"/>
    </xf>
    <xf numFmtId="0" fontId="3" fillId="6" borderId="0" applyAlignment="1" pivotButton="0" quotePrefix="0" xfId="0">
      <alignment horizontal="left" vertical="center" indent="1"/>
    </xf>
    <xf numFmtId="0" fontId="13" fillId="6" borderId="1" pivotButton="0" quotePrefix="0" xfId="0"/>
    <xf numFmtId="0" fontId="0" fillId="0" borderId="1" pivotButton="0" quotePrefix="0" xfId="0"/>
    <xf numFmtId="0" fontId="15" fillId="0" borderId="1" pivotButton="0" quotePrefix="0" xfId="0"/>
    <xf numFmtId="0" fontId="1" fillId="12" borderId="0" applyAlignment="1" pivotButton="0" quotePrefix="0" xfId="0">
      <alignment horizontal="left" vertical="center" indent="1"/>
    </xf>
    <xf numFmtId="0" fontId="0" fillId="12" borderId="0" pivotButton="0" quotePrefix="0" xfId="0"/>
    <xf numFmtId="0" fontId="2" fillId="12" borderId="0" applyAlignment="1" pivotButton="0" quotePrefix="0" xfId="0">
      <alignment horizontal="left" vertical="center" wrapText="1" indent="1"/>
    </xf>
    <xf numFmtId="0" fontId="14" fillId="10" borderId="13" applyAlignment="1" pivotButton="0" quotePrefix="0" xfId="0">
      <alignment horizontal="left" vertical="top" wrapText="1" indent="1"/>
    </xf>
    <xf numFmtId="0" fontId="3" fillId="12" borderId="0" applyAlignment="1" pivotButton="0" quotePrefix="0" xfId="0">
      <alignment horizontal="left" vertical="center" indent="1"/>
    </xf>
    <xf numFmtId="0" fontId="5" fillId="12" borderId="1" applyAlignment="1" pivotButton="0" quotePrefix="0" xfId="0">
      <alignment horizontal="left" vertical="top" wrapText="1" indent="1"/>
    </xf>
    <xf numFmtId="0" fontId="1" fillId="13" borderId="0" applyAlignment="1" pivotButton="0" quotePrefix="0" xfId="0">
      <alignment horizontal="left" vertical="center" indent="1"/>
    </xf>
    <xf numFmtId="0" fontId="0" fillId="13" borderId="0" pivotButton="0" quotePrefix="0" xfId="0"/>
    <xf numFmtId="0" fontId="2" fillId="13" borderId="0" applyAlignment="1" pivotButton="0" quotePrefix="0" xfId="0">
      <alignment horizontal="left" vertical="center" wrapText="1" indent="1"/>
    </xf>
    <xf numFmtId="0" fontId="14" fillId="10" borderId="14" applyAlignment="1" pivotButton="0" quotePrefix="0" xfId="0">
      <alignment horizontal="left" vertical="top" wrapText="1" indent="1"/>
    </xf>
    <xf numFmtId="0" fontId="3" fillId="13" borderId="0" applyAlignment="1" pivotButton="0" quotePrefix="0" xfId="0">
      <alignment horizontal="left" vertical="center" indent="1"/>
    </xf>
    <xf numFmtId="0" fontId="5" fillId="13" borderId="1" applyAlignment="1" pivotButton="0" quotePrefix="0" xfId="0">
      <alignment horizontal="center" vertical="center" wrapText="1"/>
    </xf>
    <xf numFmtId="0" fontId="16" fillId="3" borderId="1" applyAlignment="1" pivotButton="0" quotePrefix="0" xfId="0">
      <alignment horizontal="center" vertical="center"/>
    </xf>
    <xf numFmtId="0" fontId="6" fillId="3" borderId="1" applyAlignment="1" pivotButton="0" quotePrefix="0" xfId="0">
      <alignment horizontal="center" vertical="top" wrapText="1"/>
    </xf>
    <xf numFmtId="0" fontId="6" fillId="11" borderId="1" applyAlignment="1" pivotButton="0" quotePrefix="0" xfId="0">
      <alignment horizontal="center" vertical="top" wrapText="1"/>
    </xf>
    <xf numFmtId="0" fontId="6" fillId="11" borderId="1" applyAlignment="1" pivotButton="0" quotePrefix="0" xfId="0">
      <alignment horizontal="left" vertical="top" wrapText="1"/>
    </xf>
    <xf numFmtId="0" fontId="1" fillId="9" borderId="0" applyAlignment="1" pivotButton="0" quotePrefix="0" xfId="0">
      <alignment horizontal="left" vertical="center" indent="1"/>
    </xf>
    <xf numFmtId="0" fontId="0" fillId="9" borderId="0" pivotButton="0" quotePrefix="0" xfId="0"/>
    <xf numFmtId="0" fontId="2" fillId="9" borderId="0" applyAlignment="1" pivotButton="0" quotePrefix="0" xfId="0">
      <alignment horizontal="left" vertical="center" wrapText="1" indent="1"/>
    </xf>
    <xf numFmtId="0" fontId="3" fillId="9" borderId="0" applyAlignment="1" pivotButton="0" quotePrefix="0" xfId="0">
      <alignment horizontal="left" vertical="center" indent="1"/>
    </xf>
    <xf numFmtId="0" fontId="5" fillId="9" borderId="1" applyAlignment="1" pivotButton="0" quotePrefix="0" xfId="0">
      <alignment horizontal="center" vertical="center" wrapText="1"/>
    </xf>
  </cellXfs>
  <cellStyles count="1">
    <cellStyle name="Normal" xfId="0" builtinId="0" hidden="0"/>
  </cellStyles>
  <dxfs count="12">
    <dxf>
      <font>
        <b val="1"/>
        <color rgb="00FFFFFF"/>
      </font>
      <fill>
        <patternFill patternType="solid">
          <fgColor rgb="008C2D6B"/>
        </patternFill>
      </fill>
    </dxf>
    <dxf>
      <font>
        <b val="1"/>
        <color rgb="001B1E3C"/>
      </font>
      <fill>
        <patternFill patternType="solid">
          <fgColor rgb="00FCF3D7"/>
        </patternFill>
      </fill>
    </dxf>
    <dxf>
      <font>
        <b val="1"/>
        <color rgb="001E8E3E"/>
      </font>
      <fill>
        <patternFill patternType="solid">
          <fgColor rgb="00E3F4E8"/>
        </patternFill>
      </fill>
    </dxf>
    <dxf>
      <font>
        <b val="1"/>
        <color rgb="00B8860B"/>
      </font>
      <fill>
        <patternFill patternType="solid">
          <fgColor rgb="00FCF3D7"/>
        </patternFill>
      </fill>
    </dxf>
    <dxf>
      <font>
        <b val="1"/>
        <color rgb="00C0392B"/>
      </font>
      <fill>
        <patternFill patternType="solid">
          <fgColor rgb="00FBE4E0"/>
        </patternFill>
      </fill>
    </dxf>
    <dxf>
      <font>
        <b val="1"/>
        <color rgb="005A5E7A"/>
      </font>
      <fill>
        <patternFill patternType="solid">
          <fgColor rgb="00ECEEF6"/>
        </patternFill>
      </fill>
    </dxf>
    <dxf>
      <font>
        <b val="1"/>
        <color rgb="00FFFFFF"/>
      </font>
      <fill>
        <patternFill patternType="solid">
          <fgColor rgb="00C0392B"/>
        </patternFill>
      </fill>
    </dxf>
    <dxf>
      <font>
        <b val="1"/>
        <color rgb="001B1E3C"/>
      </font>
      <fill>
        <patternFill patternType="solid">
          <fgColor rgb="00ECEEF6"/>
        </patternFill>
      </fill>
    </dxf>
    <dxf>
      <font>
        <b val="1"/>
        <color rgb="00B25309"/>
      </font>
      <fill>
        <patternFill patternType="solid">
          <fgColor rgb="00FCF3D7"/>
        </patternFill>
      </fill>
    </dxf>
    <dxf>
      <font>
        <b val="1"/>
        <color rgb="005A5E7A"/>
      </font>
      <fill>
        <patternFill patternType="solid">
          <fgColor rgb="00E4E7F5"/>
        </patternFill>
      </fill>
    </dxf>
    <dxf>
      <font>
        <b val="1"/>
        <color rgb="00FFFFFF"/>
      </font>
      <fill>
        <patternFill patternType="solid">
          <fgColor rgb="000E7C66"/>
        </patternFill>
      </fill>
    </dxf>
    <dxf>
      <font>
        <b val="1"/>
        <color rgb="000E7C66"/>
      </font>
      <fill>
        <patternFill patternType="solid">
          <fgColor rgb="00E3F4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D3A8C"/>
    <outlinePr summaryBelow="1" summaryRight="1"/>
    <pageSetUpPr/>
  </sheetPr>
  <dimension ref="A1:F52"/>
  <sheetViews>
    <sheetView showGridLines="0" zoomScale="100" workbookViewId="0">
      <selection activeCell="A1" sqref="A1"/>
    </sheetView>
  </sheetViews>
  <sheetFormatPr baseColWidth="8" defaultRowHeight="15"/>
  <cols>
    <col width="4" customWidth="1" min="1" max="1"/>
    <col width="34" customWidth="1" min="2" max="2"/>
    <col width="46" customWidth="1" min="3" max="3"/>
    <col width="34" customWidth="1" min="4" max="4"/>
    <col width="34" customWidth="1" min="5" max="5"/>
    <col width="10" customWidth="1" min="6" max="6"/>
  </cols>
  <sheetData>
    <row r="1" ht="40" customHeight="1">
      <c r="A1" s="1" t="inlineStr">
        <is>
          <t>🚀  Risk Up Front — Project Mega Workbook</t>
        </is>
      </c>
      <c r="B1" s="2" t="n"/>
      <c r="C1" s="2" t="n"/>
      <c r="D1" s="2" t="n"/>
      <c r="E1" s="2" t="n"/>
      <c r="F1" s="2" t="n"/>
    </row>
    <row r="2" ht="22" customHeight="1">
      <c r="A2" s="3" t="inlineStr">
        <is>
          <t>Four principles. Four documents. Two meetings. — A complete, living toolkit for running a project the RUF way, built for humans AND AI agents.</t>
        </is>
      </c>
      <c r="B2" s="2" t="n"/>
      <c r="C2" s="2" t="n"/>
      <c r="D2" s="2" t="n"/>
      <c r="E2" s="2" t="n"/>
      <c r="F2" s="2" t="n"/>
    </row>
    <row r="4" ht="24" customHeight="1">
      <c r="A4" s="4" t="inlineStr">
        <is>
          <t>👋  Welcome</t>
        </is>
      </c>
      <c r="B4" s="2" t="n"/>
      <c r="C4" s="2" t="n"/>
      <c r="D4" s="2" t="n"/>
      <c r="E4" s="2" t="n"/>
      <c r="F4" s="2" t="n"/>
    </row>
    <row r="5" ht="30.4" customHeight="1">
      <c r="A5" s="5" t="inlineStr">
        <is>
          <t>This workbook is the single source of truth for a project run with the Risk Up Front (RUF) approach (Josephs &amp; Rubenstein, 'Risk Up Front: Managing Projects in a Complex World', 2018).</t>
        </is>
      </c>
    </row>
    <row r="6" ht="16" customHeight="1">
      <c r="A6" s="5" t="inlineStr">
        <is>
          <t>It does three jobs at once:</t>
        </is>
      </c>
    </row>
    <row r="7" ht="45.59999999999999" customHeight="1">
      <c r="A7" s="5" t="inlineStr">
        <is>
          <t xml:space="preserve">   1️⃣  TEMPLATES — every RUF artifact, ready to fill in: Project Statement, Team List, Individual Accountabilities, Risk Action Plan, Weekly Schedule, WAM log, plus the supporting logs and the Cost of Being Late.</t>
        </is>
      </c>
    </row>
    <row r="8" ht="30.4" customHeight="1">
      <c r="A8" s="5" t="inlineStr">
        <is>
          <t xml:space="preserve">   2️⃣  TEACHER — the 📖 RUF 101 sheet and per-sheet help boxes teach the framework as you use it. A new team member (or a brand-new AI agent) can become fluent in RUF from this file alone.</t>
        </is>
      </c>
    </row>
    <row r="9" ht="30.4" customHeight="1">
      <c r="A9" s="5" t="inlineStr">
        <is>
          <t xml:space="preserve">   3️⃣  AI-NATIVE — the 🤖 sheets give any AI agent full framework context, this workbook's exact schema, and step-by-step prompt instructions for ingesting meeting transcripts and emails into the right sheets.</t>
        </is>
      </c>
    </row>
    <row r="11" ht="24" customHeight="1">
      <c r="A11" s="4" t="inlineStr">
        <is>
          <t>🧭  The RUF system at a glance</t>
        </is>
      </c>
      <c r="B11" s="2" t="n"/>
      <c r="C11" s="2" t="n"/>
      <c r="D11" s="2" t="n"/>
      <c r="E11" s="2" t="n"/>
      <c r="F11" s="2" t="n"/>
    </row>
    <row r="12" ht="30" customHeight="1">
      <c r="A12" s="6" t="inlineStr"/>
      <c r="B12" s="6" t="inlineStr">
        <is>
          <t>4 PRINCIPLES (the culture)</t>
        </is>
      </c>
      <c r="C12" s="6" t="inlineStr">
        <is>
          <t>4 DOCUMENTS (the paper)</t>
        </is>
      </c>
      <c r="D12" s="6" t="inlineStr">
        <is>
          <t>2 MEETINGS (the rhythm)</t>
        </is>
      </c>
      <c r="E12" s="6" t="inlineStr">
        <is>
          <t>4 LEVERS (how culture changes)</t>
        </is>
      </c>
      <c r="F12" s="6" t="inlineStr"/>
    </row>
    <row r="13" ht="26" customHeight="1">
      <c r="A13" s="7" t="inlineStr"/>
      <c r="B13" s="8" t="inlineStr">
        <is>
          <t>Accountability — 'Singular ownership of a result'</t>
        </is>
      </c>
      <c r="C13" s="7" t="inlineStr">
        <is>
          <t>📜 Project Statement</t>
        </is>
      </c>
      <c r="D13" s="7" t="inlineStr">
        <is>
          <t>Definition Meeting (DKDK)</t>
        </is>
      </c>
      <c r="E13" s="7" t="inlineStr">
        <is>
          <t>Language</t>
        </is>
      </c>
      <c r="F13" s="7" t="inlineStr"/>
    </row>
    <row r="14" ht="26" customHeight="1">
      <c r="A14" s="7" t="inlineStr"/>
      <c r="B14" s="9" t="inlineStr">
        <is>
          <t>Transparency — 'Team-wide clarity of what is so'</t>
        </is>
      </c>
      <c r="C14" s="7" t="inlineStr">
        <is>
          <t>👥 Team List + 🧭 Individual Accountabilities</t>
        </is>
      </c>
      <c r="D14" s="7" t="inlineStr">
        <is>
          <t>🤝 Weekly Accountability Meeting</t>
        </is>
      </c>
      <c r="E14" s="7" t="inlineStr">
        <is>
          <t>Structures</t>
        </is>
      </c>
      <c r="F14" s="7" t="inlineStr"/>
    </row>
    <row r="15" ht="26" customHeight="1">
      <c r="A15" s="7" t="inlineStr"/>
      <c r="B15" s="10" t="inlineStr">
        <is>
          <t>Integrity — 'Do what you say'</t>
        </is>
      </c>
      <c r="C15" s="7" t="inlineStr">
        <is>
          <t>📅 Weekly Schedule</t>
        </is>
      </c>
      <c r="D15" s="7" t="inlineStr"/>
      <c r="E15" s="7" t="inlineStr">
        <is>
          <t>Practices</t>
        </is>
      </c>
      <c r="F15" s="7" t="inlineStr"/>
    </row>
    <row r="16" ht="26" customHeight="1">
      <c r="A16" s="7" t="inlineStr"/>
      <c r="B16" s="11" t="inlineStr">
        <is>
          <t>Commitment — 'It will be so, even in the face of circumstances'</t>
        </is>
      </c>
      <c r="C16" s="7" t="inlineStr">
        <is>
          <t>⚠️ Risk Action Plan (RAP)</t>
        </is>
      </c>
      <c r="D16" s="7" t="inlineStr"/>
      <c r="E16" s="7" t="inlineStr">
        <is>
          <t>Metrics</t>
        </is>
      </c>
      <c r="F16" s="7" t="inlineStr"/>
    </row>
    <row r="18" ht="24" customHeight="1">
      <c r="A18" s="4" t="inlineStr">
        <is>
          <t>🗺  Map of this workbook</t>
        </is>
      </c>
      <c r="B18" s="2" t="n"/>
      <c r="C18" s="2" t="n"/>
      <c r="D18" s="2" t="n"/>
      <c r="E18" s="2" t="n"/>
      <c r="F18" s="2" t="n"/>
    </row>
    <row r="19" ht="30" customHeight="1">
      <c r="A19" s="6" t="inlineStr"/>
      <c r="B19" s="6" t="inlineStr">
        <is>
          <t>Sheet</t>
        </is>
      </c>
      <c r="C19" s="6" t="inlineStr">
        <is>
          <t>What it is</t>
        </is>
      </c>
      <c r="D19" s="6" t="inlineStr">
        <is>
          <t>Who uses it</t>
        </is>
      </c>
      <c r="E19" s="6" t="inlineStr">
        <is>
          <t>When</t>
        </is>
      </c>
      <c r="F19" s="6" t="inlineStr"/>
    </row>
    <row r="20" ht="26" customHeight="1">
      <c r="A20" s="7" t="inlineStr"/>
      <c r="B20" s="12" t="inlineStr">
        <is>
          <t>📖 RUF 101</t>
        </is>
      </c>
      <c r="C20" s="7" t="inlineStr">
        <is>
          <t>The framework explained: principles, levers, CEI risk form, meetings, timeline, glossary</t>
        </is>
      </c>
      <c r="D20" s="7" t="inlineStr">
        <is>
          <t>Everyone — read first</t>
        </is>
      </c>
      <c r="E20" s="7" t="inlineStr">
        <is>
          <t>Once, then as reference</t>
        </is>
      </c>
      <c r="F20" s="7" t="inlineStr"/>
    </row>
    <row r="21" ht="26" customHeight="1">
      <c r="A21" s="7" t="inlineStr"/>
      <c r="B21" s="12" t="inlineStr">
        <is>
          <t>📜 Project Statement</t>
        </is>
      </c>
      <c r="C21" s="7" t="inlineStr">
        <is>
          <t>The 1–3 page charter around the 5W tradeoff; the object of team commitment</t>
        </is>
      </c>
      <c r="D21" s="7" t="inlineStr">
        <is>
          <t>Project Leader + team</t>
        </is>
      </c>
      <c r="E21" s="7" t="inlineStr">
        <is>
          <t>Definition; reviewed weekly</t>
        </is>
      </c>
      <c r="F21" s="7" t="inlineStr"/>
    </row>
    <row r="22" ht="26" customHeight="1">
      <c r="A22" s="7" t="inlineStr"/>
      <c r="B22" s="12" t="inlineStr">
        <is>
          <t>👥 Team List</t>
        </is>
      </c>
      <c r="C22" s="7" t="inlineStr">
        <is>
          <t>Names (never titles alone), accountabilities, allocation, explicit agreement</t>
        </is>
      </c>
      <c r="D22" s="7" t="inlineStr">
        <is>
          <t>Project Leader</t>
        </is>
      </c>
      <c r="E22" s="7" t="inlineStr">
        <is>
          <t>Definition; kept current</t>
        </is>
      </c>
      <c r="F22" s="7" t="inlineStr"/>
    </row>
    <row r="23" ht="26" customHeight="1">
      <c r="A23" s="7" t="inlineStr"/>
      <c r="B23" s="12" t="inlineStr">
        <is>
          <t>🧭 Individual Accountab.</t>
        </is>
      </c>
      <c r="C23" s="7" t="inlineStr">
        <is>
          <t>One block per person: the results they singularly own</t>
        </is>
      </c>
      <c r="D23" s="7" t="inlineStr">
        <is>
          <t>Every team member</t>
        </is>
      </c>
      <c r="E23" s="7" t="inlineStr">
        <is>
          <t>Definition</t>
        </is>
      </c>
      <c r="F23" s="7" t="inlineStr"/>
    </row>
    <row r="24" ht="26" customHeight="1">
      <c r="A24" s="7" t="inlineStr"/>
      <c r="B24" s="12" t="inlineStr">
        <is>
          <t>⚠️ Risk Action Plan</t>
        </is>
      </c>
      <c r="C24" s="7" t="inlineStr">
        <is>
          <t>Risks in Cause–Effect–Impact form, owners, mitigation actions</t>
        </is>
      </c>
      <c r="D24" s="7" t="inlineStr">
        <is>
          <t>Whole team</t>
        </is>
      </c>
      <c r="E24" s="7" t="inlineStr">
        <is>
          <t>Continuously; walked at every WAM</t>
        </is>
      </c>
      <c r="F24" s="7" t="inlineStr"/>
    </row>
    <row r="25" ht="26" customHeight="1">
      <c r="A25" s="7" t="inlineStr"/>
      <c r="B25" s="12" t="inlineStr">
        <is>
          <t>✅ Actions</t>
        </is>
      </c>
      <c r="C25" s="7" t="inlineStr">
        <is>
          <t>Every owned, dated task (mitigations, cleanups, follow-ups)</t>
        </is>
      </c>
      <c r="D25" s="7" t="inlineStr">
        <is>
          <t>Owners</t>
        </is>
      </c>
      <c r="E25" s="7" t="inlineStr">
        <is>
          <t>Continuously</t>
        </is>
      </c>
      <c r="F25" s="7" t="inlineStr"/>
    </row>
    <row r="26" ht="26" customHeight="1">
      <c r="A26" s="7" t="inlineStr"/>
      <c r="B26" s="12" t="inlineStr">
        <is>
          <t>📅 Weekly Schedule</t>
        </is>
      </c>
      <c r="C26" s="7" t="inlineStr">
        <is>
          <t>The project as weekly deliverables, one owner each, done/not-done</t>
        </is>
      </c>
      <c r="D26" s="7" t="inlineStr">
        <is>
          <t>Whole team</t>
        </is>
      </c>
      <c r="E26" s="7" t="inlineStr">
        <is>
          <t>Weekly</t>
        </is>
      </c>
      <c r="F26" s="7" t="inlineStr"/>
    </row>
    <row r="27" ht="26" customHeight="1">
      <c r="A27" s="7" t="inlineStr"/>
      <c r="B27" s="12" t="inlineStr">
        <is>
          <t>🤝 WAM Agenda &amp; Log</t>
        </is>
      </c>
      <c r="C27" s="7" t="inlineStr">
        <is>
          <t>Standing agenda + one log row per weekly meeting</t>
        </is>
      </c>
      <c r="D27" s="7" t="inlineStr">
        <is>
          <t>Project Leader (chair)</t>
        </is>
      </c>
      <c r="E27" s="7" t="inlineStr">
        <is>
          <t>Every week</t>
        </is>
      </c>
      <c r="F27" s="7" t="inlineStr"/>
    </row>
    <row r="28" ht="26" customHeight="1">
      <c r="A28" s="7" t="inlineStr"/>
      <c r="B28" s="12" t="inlineStr">
        <is>
          <t>🚧 Issues Log</t>
        </is>
      </c>
      <c r="C28" s="7" t="inlineStr">
        <is>
          <t>Known present problems (risks that happened live here)</t>
        </is>
      </c>
      <c r="D28" s="7" t="inlineStr">
        <is>
          <t>Owners</t>
        </is>
      </c>
      <c r="E28" s="7" t="inlineStr">
        <is>
          <t>As they arise</t>
        </is>
      </c>
      <c r="F28" s="7" t="inlineStr"/>
    </row>
    <row r="29" ht="26" customHeight="1">
      <c r="A29" s="7" t="inlineStr"/>
      <c r="B29" s="12" t="inlineStr">
        <is>
          <t>🧮 Decision Log</t>
        </is>
      </c>
      <c r="C29" s="7" t="inlineStr">
        <is>
          <t>Decisions written down = transparency</t>
        </is>
      </c>
      <c r="D29" s="7" t="inlineStr">
        <is>
          <t>Everyone</t>
        </is>
      </c>
      <c r="E29" s="7" t="inlineStr">
        <is>
          <t>As decided</t>
        </is>
      </c>
      <c r="F29" s="7" t="inlineStr"/>
    </row>
    <row r="30" ht="26" customHeight="1">
      <c r="A30" s="7" t="inlineStr"/>
      <c r="B30" s="12" t="inlineStr">
        <is>
          <t>💸 Cost of Being Late</t>
        </is>
      </c>
      <c r="C30" s="7" t="inlineStr">
        <is>
          <t>Linear + nonlinear lateness costs and the agreed narrative</t>
        </is>
      </c>
      <c r="D30" s="7" t="inlineStr">
        <is>
          <t>Team + stakeholders</t>
        </is>
      </c>
      <c r="E30" s="7" t="inlineStr">
        <is>
          <t>Definition; on change</t>
        </is>
      </c>
      <c r="F30" s="7" t="inlineStr"/>
    </row>
    <row r="31" ht="26" customHeight="1">
      <c r="A31" s="7" t="inlineStr"/>
      <c r="B31" s="12" t="inlineStr">
        <is>
          <t>🗂 Accountability Matrix</t>
        </is>
      </c>
      <c r="C31" s="7" t="inlineStr">
        <is>
          <t>Deliverables × owners: find gaps and collisions</t>
        </is>
      </c>
      <c r="D31" s="7" t="inlineStr">
        <is>
          <t>Project Leader</t>
        </is>
      </c>
      <c r="E31" s="7" t="inlineStr">
        <is>
          <t>Definition; on change</t>
        </is>
      </c>
      <c r="F31" s="7" t="inlineStr"/>
    </row>
    <row r="32" ht="26" customHeight="1">
      <c r="A32" s="7" t="inlineStr"/>
      <c r="B32" s="12" t="inlineStr">
        <is>
          <t>💡 Opportunity Sheet</t>
        </is>
      </c>
      <c r="C32" s="7" t="inlineStr">
        <is>
          <t>Pre-project capture of opportunities</t>
        </is>
      </c>
      <c r="D32" s="7" t="inlineStr">
        <is>
          <t>Sponsors</t>
        </is>
      </c>
      <c r="E32" s="7" t="inlineStr">
        <is>
          <t>Before Definition</t>
        </is>
      </c>
      <c r="F32" s="7" t="inlineStr"/>
    </row>
    <row r="33" ht="26" customHeight="1">
      <c r="A33" s="7" t="inlineStr"/>
      <c r="B33" s="12" t="inlineStr">
        <is>
          <t>📊 Dashboard</t>
        </is>
      </c>
      <c r="C33" s="7" t="inlineStr">
        <is>
          <t>Weekly completion rate, risk burn-down, integrity metrics</t>
        </is>
      </c>
      <c r="D33" s="7" t="inlineStr">
        <is>
          <t>Everyone</t>
        </is>
      </c>
      <c r="E33" s="7" t="inlineStr">
        <is>
          <t>Auto/weekly</t>
        </is>
      </c>
      <c r="F33" s="7" t="inlineStr"/>
    </row>
    <row r="34" ht="26" customHeight="1">
      <c r="A34" s="7" t="inlineStr"/>
      <c r="B34" s="12" t="inlineStr">
        <is>
          <t>🤖 AI · Framework Context</t>
        </is>
      </c>
      <c r="C34" s="7" t="inlineStr">
        <is>
          <t>Dense RUF context so an AI agent becomes fluent in the method</t>
        </is>
      </c>
      <c r="D34" s="7" t="inlineStr">
        <is>
          <t>AI agents</t>
        </is>
      </c>
      <c r="E34" s="7" t="inlineStr">
        <is>
          <t>On first read</t>
        </is>
      </c>
      <c r="F34" s="7" t="inlineStr"/>
    </row>
    <row r="35" ht="26" customHeight="1">
      <c r="A35" s="7" t="inlineStr"/>
      <c r="B35" s="12" t="inlineStr">
        <is>
          <t>🤖 AI · Workbook Schema</t>
        </is>
      </c>
      <c r="C35" s="7" t="inlineStr">
        <is>
          <t>Machine-readable map: every sheet, column, enum, ID scheme, update rules</t>
        </is>
      </c>
      <c r="D35" s="7" t="inlineStr">
        <is>
          <t>AI agents</t>
        </is>
      </c>
      <c r="E35" s="7" t="inlineStr">
        <is>
          <t>Before any write</t>
        </is>
      </c>
      <c r="F35" s="7" t="inlineStr"/>
    </row>
    <row r="36" ht="26" customHeight="1">
      <c r="A36" s="7" t="inlineStr"/>
      <c r="B36" s="12" t="inlineStr">
        <is>
          <t>🤖 AI · Transcript Ingestion</t>
        </is>
      </c>
      <c r="C36" s="7" t="inlineStr">
        <is>
          <t>Prompt instructions: meeting transcript → RAP/Actions/WAM log/Decisions</t>
        </is>
      </c>
      <c r="D36" s="7" t="inlineStr">
        <is>
          <t>AI agents</t>
        </is>
      </c>
      <c r="E36" s="7" t="inlineStr">
        <is>
          <t>After each meeting</t>
        </is>
      </c>
      <c r="F36" s="7" t="inlineStr"/>
    </row>
    <row r="37" ht="26" customHeight="1">
      <c r="A37" s="7" t="inlineStr"/>
      <c r="B37" s="12" t="inlineStr">
        <is>
          <t>🤖 AI · Email Ingestion</t>
        </is>
      </c>
      <c r="C37" s="7" t="inlineStr">
        <is>
          <t>Prompt instructions: email threads → commitments, risks, decisions, issues</t>
        </is>
      </c>
      <c r="D37" s="7" t="inlineStr">
        <is>
          <t>AI agents</t>
        </is>
      </c>
      <c r="E37" s="7" t="inlineStr">
        <is>
          <t>On email batches</t>
        </is>
      </c>
      <c r="F37" s="7" t="inlineStr"/>
    </row>
    <row r="39" ht="24" customHeight="1">
      <c r="A39" s="4" t="inlineStr">
        <is>
          <t>🎨  Color legend</t>
        </is>
      </c>
      <c r="B39" s="2" t="n"/>
      <c r="C39" s="2" t="n"/>
      <c r="D39" s="2" t="n"/>
      <c r="E39" s="2" t="n"/>
      <c r="F39" s="2" t="n"/>
    </row>
    <row r="40" ht="18" customHeight="1">
      <c r="B40" s="13" t="inlineStr">
        <is>
          <t xml:space="preserve">  Emerald</t>
        </is>
      </c>
      <c r="C40" s="14" t="inlineStr">
        <is>
          <t>Accountability / Team sheets</t>
        </is>
      </c>
    </row>
    <row r="41" ht="18" customHeight="1">
      <c r="B41" s="15" t="inlineStr">
        <is>
          <t xml:space="preserve">  Azure</t>
        </is>
      </c>
      <c r="C41" s="14" t="inlineStr">
        <is>
          <t>Transparency / Schedule</t>
        </is>
      </c>
    </row>
    <row r="42" ht="18" customHeight="1">
      <c r="B42" s="16" t="inlineStr">
        <is>
          <t xml:space="preserve">  Bronze</t>
        </is>
      </c>
      <c r="C42" s="14" t="inlineStr">
        <is>
          <t>Integrity / Costs &amp; logs</t>
        </is>
      </c>
    </row>
    <row r="43" ht="18" customHeight="1">
      <c r="B43" s="17" t="inlineStr">
        <is>
          <t xml:space="preserve">  Plum</t>
        </is>
      </c>
      <c r="C43" s="14" t="inlineStr">
        <is>
          <t>Commitment / WAM</t>
        </is>
      </c>
    </row>
    <row r="44" ht="18" customHeight="1">
      <c r="B44" s="18" t="inlineStr">
        <is>
          <t xml:space="preserve">  Crimson</t>
        </is>
      </c>
      <c r="C44" s="14" t="inlineStr">
        <is>
          <t>Risk Action Plan</t>
        </is>
      </c>
    </row>
    <row r="45" ht="18" customHeight="1">
      <c r="B45" s="19" t="inlineStr">
        <is>
          <t xml:space="preserve">  Violet</t>
        </is>
      </c>
      <c r="C45" s="14" t="inlineStr">
        <is>
          <t>AI-agent sheets</t>
        </is>
      </c>
    </row>
    <row r="47" ht="24" customHeight="1">
      <c r="A47" s="4" t="inlineStr">
        <is>
          <t>⚡  Quick start (a PM's first hour)</t>
        </is>
      </c>
      <c r="B47" s="2" t="n"/>
      <c r="C47" s="2" t="n"/>
      <c r="D47" s="2" t="n"/>
      <c r="E47" s="2" t="n"/>
      <c r="F47" s="2" t="n"/>
    </row>
    <row r="48" ht="30.4" customHeight="1">
      <c r="A48" s="20" t="inlineStr">
        <is>
          <t>1. Read 📖 RUF 101 (10 min).   2. Draft the 📜 Project Statement — especially WHY NOT.   3. Put names on 👥 Team List.</t>
        </is>
      </c>
    </row>
    <row r="49" ht="30.4" customHeight="1">
      <c r="A49" s="20" t="inlineStr">
        <is>
          <t>4. Run a risk-surfacing session and load the ⚠️ RAP in CEI form.   5. Fill 💸 Cost of Being Late with the team.</t>
        </is>
      </c>
    </row>
    <row r="50" ht="30.4" customHeight="1">
      <c r="A50" s="20" t="inlineStr">
        <is>
          <t>6. Hold the Definition Meeting (line-by-line read of the Statement).   7. Retire the biggest novel risks.</t>
        </is>
      </c>
    </row>
    <row r="51" ht="30.4" customHeight="1">
      <c r="A51" s="20" t="inlineStr">
        <is>
          <t>8. Team Commitment decision point → dates flip from Target to Committed.   9. Run 🤝 WAMs weekly; score the 📅 Weekly Schedule; watch the 📊 Dashboard.</t>
        </is>
      </c>
    </row>
    <row r="52" ht="39" customHeight="1">
      <c r="A52" s="21" t="inlineStr">
        <is>
          <t>Fidelity note: canonical definitions quoted from the authors' published Chapter 1 and excerpts; rules of thumb (e.g., the ~25–30% risk-retirement bar) are practitioner-reported. See the companion document RISK-UP-FRONT-GUIDE.md for sources.</t>
        </is>
      </c>
    </row>
  </sheetData>
  <mergeCells count="17">
    <mergeCell ref="A2:F2"/>
    <mergeCell ref="A11:F11"/>
    <mergeCell ref="A49:F49"/>
    <mergeCell ref="A47:F47"/>
    <mergeCell ref="A51:F51"/>
    <mergeCell ref="A52:F52"/>
    <mergeCell ref="A1:F1"/>
    <mergeCell ref="A5:F5"/>
    <mergeCell ref="A9:F9"/>
    <mergeCell ref="A8:F8"/>
    <mergeCell ref="A6:F6"/>
    <mergeCell ref="A18:F18"/>
    <mergeCell ref="A4:F4"/>
    <mergeCell ref="A48:F48"/>
    <mergeCell ref="A50:F50"/>
    <mergeCell ref="A39:F39"/>
    <mergeCell ref="A7:F7"/>
  </mergeCells>
  <pageMargins left="0.75" right="0.75" top="1" bottom="1" header="0.5" footer="0.5"/>
</worksheet>
</file>

<file path=xl/worksheets/sheet2.xml><?xml version="1.0" encoding="utf-8"?>
<worksheet xmlns="http://schemas.openxmlformats.org/spreadsheetml/2006/main">
  <sheetPr>
    <tabColor rgb="003D3A8C"/>
    <outlinePr summaryBelow="1" summaryRight="1"/>
    <pageSetUpPr/>
  </sheetPr>
  <dimension ref="A1:F56"/>
  <sheetViews>
    <sheetView showGridLines="0" zoomScale="100" workbookViewId="0">
      <selection activeCell="A1" sqref="A1"/>
    </sheetView>
  </sheetViews>
  <sheetFormatPr baseColWidth="8" defaultRowHeight="15"/>
  <cols>
    <col width="4" customWidth="1" min="1" max="1"/>
    <col width="30" customWidth="1" min="2" max="2"/>
    <col width="40" customWidth="1" min="3" max="3"/>
    <col width="40" customWidth="1" min="4" max="4"/>
    <col width="40" customWidth="1" min="5" max="5"/>
    <col width="10" customWidth="1" min="6" max="6"/>
  </cols>
  <sheetData>
    <row r="1" ht="40" customHeight="1">
      <c r="A1" s="1" t="inlineStr">
        <is>
          <t>📖  RUF 101 — The Framework in One Sheet</t>
        </is>
      </c>
      <c r="B1" s="2" t="n"/>
      <c r="C1" s="2" t="n"/>
      <c r="D1" s="2" t="n"/>
      <c r="E1" s="2" t="n"/>
      <c r="F1" s="2" t="n"/>
    </row>
    <row r="2" ht="22" customHeight="1">
      <c r="A2" s="3" t="inlineStr">
        <is>
          <t>Everything a human needs to run this workbook the Risk Up Front way. (AI agents: your denser version is 🤖 AI · Framework Context.)</t>
        </is>
      </c>
      <c r="B2" s="2" t="n"/>
      <c r="C2" s="2" t="n"/>
      <c r="D2" s="2" t="n"/>
      <c r="E2" s="2" t="n"/>
      <c r="F2" s="2" t="n"/>
    </row>
    <row r="4" ht="24" customHeight="1">
      <c r="A4" s="4" t="inlineStr">
        <is>
          <t>💡  The big idea</t>
        </is>
      </c>
      <c r="B4" s="2" t="n"/>
      <c r="C4" s="2" t="n"/>
      <c r="D4" s="2" t="n"/>
      <c r="E4" s="2" t="n"/>
      <c r="F4" s="2" t="n"/>
    </row>
    <row r="5" ht="28.5" customHeight="1">
      <c r="A5" s="20" t="inlineStr">
        <is>
          <t>Projects live on a cost-of-change curve: changes are cheap early and brutally expensive late. 'It's like gravity: it's there whether you believe in it or not.'</t>
        </is>
      </c>
    </row>
    <row r="6" ht="42.75" customHeight="1">
      <c r="A6" s="20" t="inlineStr">
        <is>
          <t>Left alone, teams do the opposite of what the curve demands — 'optimistic procrastination': assume all will go smoothly and defer risk work until later. Urgency then arrives exactly when changes cost the most (the death march).</t>
        </is>
      </c>
    </row>
    <row r="7" ht="42.75" customHeight="1">
      <c r="A7" s="20" t="inlineStr">
        <is>
          <t>RUF's one move: SHIFT URGENCY TO THE FRONT. Force risks, disagreements and hidden assumptions into the open during Definition, when they are cheap to fix. The whole method — four principles, four documents, two meetings — is machinery for that one move.</t>
        </is>
      </c>
    </row>
    <row r="8" ht="42.75" customHeight="1">
      <c r="A8" s="20" t="inlineStr">
        <is>
          <t>The most dangerous risks live in the team's BLIND SPOT (what it doesn't know it doesn't know). 'The fact that an individual knows something is different than a team knowing something.' RUF's documents and meetings exist to drain the blind spot systematically.</t>
        </is>
      </c>
    </row>
    <row r="10" ht="24" customHeight="1">
      <c r="A10" s="4" t="inlineStr">
        <is>
          <t>🏛  The four principles (canonical definitions)</t>
        </is>
      </c>
      <c r="B10" s="2" t="n"/>
      <c r="C10" s="2" t="n"/>
      <c r="D10" s="2" t="n"/>
      <c r="E10" s="2" t="n"/>
      <c r="F10" s="2" t="n"/>
    </row>
    <row r="11" ht="30" customHeight="1">
      <c r="A11" s="6" t="inlineStr"/>
      <c r="B11" s="6" t="inlineStr">
        <is>
          <t>Principle</t>
        </is>
      </c>
      <c r="C11" s="6" t="inlineStr">
        <is>
          <t>Canonical definition</t>
        </is>
      </c>
      <c r="D11" s="6" t="inlineStr">
        <is>
          <t>What it looks like in practice</t>
        </is>
      </c>
      <c r="E11" s="6" t="inlineStr">
        <is>
          <t>Anti-pattern it kills</t>
        </is>
      </c>
      <c r="F11" s="6" t="inlineStr"/>
    </row>
    <row r="12" ht="64" customHeight="1">
      <c r="A12" s="7" t="inlineStr"/>
      <c r="B12" s="22" t="inlineStr">
        <is>
          <t>Accountability</t>
        </is>
      </c>
      <c r="C12" s="8" t="inlineStr">
        <is>
          <t>'Singular ownership of a result.'</t>
        </is>
      </c>
      <c r="D12" s="7" t="inlineStr">
        <is>
          <t>Every deliverable, risk and action has exactly ONE name — a person, never a title or department. Owners AGREE to accountabilities (not assigned unilaterally) and are on the hook to CAUSE the result, finding resources if needed.</t>
        </is>
      </c>
      <c r="E12" s="7" t="inlineStr">
        <is>
          <t>Shared ownership; 'the team owns it'; project democracy (consensus inside an owner's area).</t>
        </is>
      </c>
      <c r="F12" s="7" t="inlineStr"/>
    </row>
    <row r="13" ht="64" customHeight="1">
      <c r="A13" s="7" t="inlineStr"/>
      <c r="B13" s="23" t="inlineStr">
        <is>
          <t>Transparency</t>
        </is>
      </c>
      <c r="C13" s="9" t="inlineStr">
        <is>
          <t>'Team-wide clarity of what is so.'</t>
        </is>
      </c>
      <c r="D13" s="7" t="inlineStr">
        <is>
          <t>Decisions written down in actively reviewed documents; line-by-line team review; measurable success criteria everyone confirms they truly agree on; over-communication as default.</t>
        </is>
      </c>
      <c r="E13" s="7" t="inlineStr">
        <is>
          <t>Private knowledge, hallway decisions, status theater.</t>
        </is>
      </c>
      <c r="F13" s="7" t="inlineStr"/>
    </row>
    <row r="14" ht="64" customHeight="1">
      <c r="A14" s="7" t="inlineStr"/>
      <c r="B14" s="24" t="inlineStr">
        <is>
          <t>Integrity</t>
        </is>
      </c>
      <c r="C14" s="10" t="inlineStr">
        <is>
          <t>'Do what you say.'</t>
        </is>
      </c>
      <c r="D14" s="7" t="inlineStr">
        <is>
          <t>Depersonalized: 'Was a commitment made, and was it kept?' When a commitment is at risk, the owner cleans it up EARLY — before the date. Publicly accounting for results improves results.</t>
        </is>
      </c>
      <c r="E14" s="7" t="inlineStr">
        <is>
          <t>Silent slips; discovering misses after the deadline.</t>
        </is>
      </c>
      <c r="F14" s="7" t="inlineStr"/>
    </row>
    <row r="15" ht="64" customHeight="1">
      <c r="A15" s="7" t="inlineStr"/>
      <c r="B15" s="25" t="inlineStr">
        <is>
          <t>Commitment</t>
        </is>
      </c>
      <c r="C15" s="11" t="inlineStr">
        <is>
          <t>'It will be so, even in the face of circumstances.'</t>
        </is>
      </c>
      <c r="D15" s="7" t="inlineStr">
        <is>
          <t>Language of commitment ('I will deliver X by Y') replaces language of hope ('I'll try'). Before accepting: Do we agree what done means? What might prevent it? The right to say no is what makes yes meaningful.</t>
        </is>
      </c>
      <c r="E15" s="7" t="inlineStr">
        <is>
          <t>Weasel words; imposed dates; 'yes' without room for 'no'.</t>
        </is>
      </c>
      <c r="F15" s="7" t="inlineStr"/>
    </row>
    <row r="17" ht="24" customHeight="1">
      <c r="A17" s="4" t="inlineStr">
        <is>
          <t>🎚  The four levers — how you actually change culture</t>
        </is>
      </c>
      <c r="B17" s="2" t="n"/>
      <c r="C17" s="2" t="n"/>
      <c r="D17" s="2" t="n"/>
      <c r="E17" s="2" t="n"/>
      <c r="F17" s="2" t="n"/>
    </row>
    <row r="18" ht="28.5" customHeight="1">
      <c r="A18" s="20" t="inlineStr">
        <is>
          <t>Principles are engineered into a team via four levers (distinct from the principles — a common confusion):</t>
        </is>
      </c>
    </row>
    <row r="19" ht="28.5" customHeight="1">
      <c r="A19" s="20" t="inlineStr">
        <is>
          <t xml:space="preserve">  •  LANGUAGE — driving values through conversation (commitment language, CEI risk form, 'accountable owner').</t>
        </is>
      </c>
    </row>
    <row r="20" ht="28.5" customHeight="1">
      <c r="A20" s="20" t="inlineStr">
        <is>
          <t xml:space="preserve">  •  STRUCTURES — how you spend money and deploy resources (cross-functional team from day one, singular ownership).</t>
        </is>
      </c>
    </row>
    <row r="21" ht="28.5" customHeight="1">
      <c r="A21" s="20" t="inlineStr">
        <is>
          <t xml:space="preserve">  •  PRACTICES — reliably repeated or triggered activities (line-by-line review, Definition Meeting, WAM).</t>
        </is>
      </c>
    </row>
    <row r="22" ht="28.5" customHeight="1">
      <c r="A22" s="20" t="inlineStr">
        <is>
          <t xml:space="preserve">  •  METRICS — the results you choose to measure ('the simple act of transparently accounting for results improves results'): weekly completion rate, risks retired, commitments kept.</t>
        </is>
      </c>
    </row>
    <row r="24" ht="24" customHeight="1">
      <c r="A24" s="26" t="inlineStr">
        <is>
          <t>⚠️  The language of risk — CEI form</t>
        </is>
      </c>
      <c r="B24" s="27" t="n"/>
      <c r="C24" s="27" t="n"/>
      <c r="D24" s="27" t="n"/>
      <c r="E24" s="27" t="n"/>
      <c r="F24" s="27" t="n"/>
    </row>
    <row r="25" ht="28.5" customHeight="1">
      <c r="A25" s="20" t="inlineStr">
        <is>
          <t>Every risk is stated as: 'Because of [CAUSE — a fact, verifiably true today], [EFFECT — an uncertain future event] may occur, resulting in [IMPACT — consequence to the project].'</t>
        </is>
      </c>
    </row>
    <row r="26" ht="42.75" customHeight="1">
      <c r="A26" s="20" t="inlineStr">
        <is>
          <t>CAUSE must be a present fact (kills vague anxiety, forces evidence). EFFECT is uncertain and future (if it already happened it's an ISSUE, not a risk). IMPACT ties it to schedule/cost/scope/quality — which is what justifies spending on mitigation.</t>
        </is>
      </c>
    </row>
    <row r="27" ht="28.5" customHeight="1">
      <c r="A27" s="20" t="inlineStr">
        <is>
          <t>Prioritize by exposure AND by NOVELTY: a risk this team has retired ten times is routine regardless of impact; a risk nobody here has retired before deserves the scarce early urgency.</t>
        </is>
      </c>
    </row>
    <row r="28" ht="28.5" customHeight="1">
      <c r="A28" s="20" t="inlineStr">
        <is>
          <t>The standing weekly question: 'What is the most likely reason this project will fail?' — the answer always goes on the RAP with an owner.</t>
        </is>
      </c>
    </row>
    <row r="30" ht="24" customHeight="1">
      <c r="A30" s="28" t="inlineStr">
        <is>
          <t>🤝  The two meetings — and the DKDK taxonomy</t>
        </is>
      </c>
      <c r="B30" s="29" t="n"/>
      <c r="C30" s="29" t="n"/>
      <c r="D30" s="29" t="n"/>
      <c r="E30" s="29" t="n"/>
      <c r="F30" s="29" t="n"/>
    </row>
    <row r="31" ht="42.75" customHeight="1">
      <c r="A31" s="20" t="inlineStr">
        <is>
          <t>RUF sorts meetings into three types: ISSUE meetings (solve known problems, small group), DKDK meetings ('Don't Know you Don't Know' — reveal blind-spot issues, do NOT solve on the spot), and INFORMATIONAL meetings (update stakeholders).</t>
        </is>
      </c>
    </row>
    <row r="32" ht="15" customHeight="1">
      <c r="A32" s="20" t="inlineStr">
        <is>
          <t>Both signature RUF meetings are DKDK meetings:</t>
        </is>
      </c>
    </row>
    <row r="33" ht="28.5" customHeight="1">
      <c r="A33" s="20" t="inlineStr">
        <is>
          <t xml:space="preserve">  •  DEFINITION MEETING — early; full cross-functional team + stakeholders; the Project Statement is read line by line; risks are harvested; the 5W tradeoff converges. A fattened RAP is success, not failure.</t>
        </is>
      </c>
    </row>
    <row r="34" ht="42.75" customHeight="1">
      <c r="A34" s="20" t="inlineStr">
        <is>
          <t xml:space="preserve">  •  WEEKLY ACCOUNTABILITY MEETING (WAM) — the heartbeat: start on time → score last week's commitments (done/not-done, compute completion rate) → clean up broken ones → walk the RAP → ask the standing failure question → commit next week → end on time.</t>
        </is>
      </c>
    </row>
    <row r="36" ht="24" customHeight="1">
      <c r="A36" s="30" t="inlineStr">
        <is>
          <t>🛤  The timeline — Definition → Commitment → Delivery</t>
        </is>
      </c>
      <c r="B36" s="31" t="n"/>
      <c r="C36" s="31" t="n"/>
      <c r="D36" s="31" t="n"/>
      <c r="E36" s="31" t="n"/>
      <c r="F36" s="31" t="n"/>
    </row>
    <row r="37" ht="42.75" customHeight="1">
      <c r="A37" s="20" t="inlineStr">
        <is>
          <t>DEFINITION (urgency deliberately high): draft the Project Statement around the 5Ws (Why, What, When, Who, WHY NOT); build the Team List; load the RAP; agree the Cost of Being Late; start retiring the biggest, most novel risks BEFORE committing.</t>
        </is>
      </c>
    </row>
    <row r="38" ht="42.75" customHeight="1">
      <c r="A38" s="20" t="inlineStr">
        <is>
          <t>TEAM COMMITMENT (the pivotal decision point): only when the whole cross-functional team is confident — practitioners cite ~25–30% of early-identified risks retired — the team commits out loud to the Project Statement. Dates flip from Target to Committed.</t>
        </is>
      </c>
    </row>
    <row r="39" ht="42.75" customHeight="1">
      <c r="A39" s="20" t="inlineStr">
        <is>
          <t>DELIVERY: the weekly engine — Weekly Schedule of owned deliverables, WAM every week, RAP continuously refreshed. Changes still happen, but they surface within a week and are handled consciously against the cost of being late.</t>
        </is>
      </c>
    </row>
    <row r="40" ht="28.5" customHeight="1">
      <c r="A40" s="20" t="inlineStr">
        <is>
          <t>CLOSE: verify success criteria; audit the blind spot (what bit us that was never on the RAP?); feed lessons to the portfolio.</t>
        </is>
      </c>
    </row>
    <row r="42" ht="24" customHeight="1">
      <c r="A42" s="4" t="inlineStr">
        <is>
          <t>📚  Mini-glossary</t>
        </is>
      </c>
      <c r="B42" s="2" t="n"/>
      <c r="C42" s="2" t="n"/>
      <c r="D42" s="2" t="n"/>
      <c r="E42" s="2" t="n"/>
      <c r="F42" s="2" t="n"/>
    </row>
    <row r="43" ht="30" customHeight="1">
      <c r="A43" s="6" t="inlineStr"/>
      <c r="B43" s="6" t="inlineStr">
        <is>
          <t>Term</t>
        </is>
      </c>
      <c r="C43" s="6" t="inlineStr">
        <is>
          <t>Meaning</t>
        </is>
      </c>
      <c r="D43" s="6" t="inlineStr"/>
      <c r="E43" s="6" t="inlineStr"/>
      <c r="F43" s="6" t="inlineStr"/>
    </row>
    <row r="44" ht="22" customHeight="1">
      <c r="A44" s="7" t="inlineStr"/>
      <c r="B44" s="12" t="inlineStr">
        <is>
          <t>Blind Spot</t>
        </is>
      </c>
      <c r="C44" s="7" t="inlineStr">
        <is>
          <t>What the team doesn't know it doesn't know — the source of the worst risks.</t>
        </is>
      </c>
      <c r="F44" s="7" t="inlineStr"/>
    </row>
    <row r="45" ht="22" customHeight="1">
      <c r="A45" s="7" t="inlineStr"/>
      <c r="B45" s="12" t="inlineStr">
        <is>
          <t>CEI</t>
        </is>
      </c>
      <c r="C45" s="7" t="inlineStr">
        <is>
          <t>Cause–Effect–Impact: the mandatory linguistic form of a risk.</t>
        </is>
      </c>
      <c r="F45" s="7" t="inlineStr"/>
    </row>
    <row r="46" ht="22" customHeight="1">
      <c r="A46" s="7" t="inlineStr"/>
      <c r="B46" s="12" t="inlineStr">
        <is>
          <t>Cleanup</t>
        </is>
      </c>
      <c r="C46" s="7" t="inlineStr">
        <is>
          <t>Proactively flagging + renegotiating an at-risk commitment BEFORE its date. Integrity in action.</t>
        </is>
      </c>
      <c r="F46" s="7" t="inlineStr"/>
    </row>
    <row r="47" ht="22" customHeight="1">
      <c r="A47" s="7" t="inlineStr"/>
      <c r="B47" s="12" t="inlineStr">
        <is>
          <t>Cost of Being Late</t>
        </is>
      </c>
      <c r="C47" s="7" t="inlineStr">
        <is>
          <t>Agreed narrative + numbers (linear per-week + nonlinear step costs) of lateness. Prices urgency.</t>
        </is>
      </c>
      <c r="F47" s="7" t="inlineStr"/>
    </row>
    <row r="48" ht="22" customHeight="1">
      <c r="A48" s="7" t="inlineStr"/>
      <c r="B48" s="12" t="inlineStr">
        <is>
          <t>Decision Point</t>
        </is>
      </c>
      <c r="C48" s="7" t="inlineStr">
        <is>
          <t>RUF's lightweight gate; Team Commitment is the pivotal one.</t>
        </is>
      </c>
      <c r="F48" s="7" t="inlineStr"/>
    </row>
    <row r="49" ht="22" customHeight="1">
      <c r="A49" s="7" t="inlineStr"/>
      <c r="B49" s="12" t="inlineStr">
        <is>
          <t>DKDK Meeting</t>
        </is>
      </c>
      <c r="C49" s="7" t="inlineStr">
        <is>
          <t>'Don't Know you Don't Know' — reveals blind-spot issues; never solves on the spot.</t>
        </is>
      </c>
      <c r="F49" s="7" t="inlineStr"/>
    </row>
    <row r="50" ht="22" customHeight="1">
      <c r="A50" s="7" t="inlineStr"/>
      <c r="B50" s="12" t="inlineStr">
        <is>
          <t>Language of hope</t>
        </is>
      </c>
      <c r="C50" s="7" t="inlineStr">
        <is>
          <t>'I'll try', 'should be fine', 'hopefully' — effort-talk that predicts nothing. Replace with commitment.</t>
        </is>
      </c>
      <c r="F50" s="7" t="inlineStr"/>
    </row>
    <row r="51" ht="22" customHeight="1">
      <c r="A51" s="7" t="inlineStr"/>
      <c r="B51" s="12" t="inlineStr">
        <is>
          <t>Optimistic procrastination</t>
        </is>
      </c>
      <c r="C51" s="7" t="inlineStr">
        <is>
          <t>The default tendency to assume smooth sailing and defer risk work to 'later'.</t>
        </is>
      </c>
      <c r="F51" s="7" t="inlineStr"/>
    </row>
    <row r="52" ht="22" customHeight="1">
      <c r="A52" s="7" t="inlineStr"/>
      <c r="B52" s="12" t="inlineStr">
        <is>
          <t>RAP</t>
        </is>
      </c>
      <c r="C52" s="7" t="inlineStr">
        <is>
          <t>Risk Action Plan — the CEI-form risk register with owners and dated mitigation actions.</t>
        </is>
      </c>
      <c r="F52" s="7" t="inlineStr"/>
    </row>
    <row r="53" ht="22" customHeight="1">
      <c r="A53" s="7" t="inlineStr"/>
      <c r="B53" s="12" t="inlineStr">
        <is>
          <t>Retire (a risk)</t>
        </is>
      </c>
      <c r="C53" s="7" t="inlineStr">
        <is>
          <t>Mitigate to closure. ~25–30% of early risks retired ≈ ready to commit (rule of thumb).</t>
        </is>
      </c>
      <c r="F53" s="7" t="inlineStr"/>
    </row>
    <row r="54" ht="22" customHeight="1">
      <c r="A54" s="7" t="inlineStr"/>
      <c r="B54" s="12" t="inlineStr">
        <is>
          <t>WAM</t>
        </is>
      </c>
      <c r="C54" s="7" t="inlineStr">
        <is>
          <t>Weekly Accountability Meeting — the weekly DKDK heartbeat.</t>
        </is>
      </c>
      <c r="F54" s="7" t="inlineStr"/>
    </row>
    <row r="55" ht="22" customHeight="1">
      <c r="A55" s="7" t="inlineStr"/>
      <c r="B55" s="12" t="inlineStr">
        <is>
          <t>Weekly completion rate</t>
        </is>
      </c>
      <c r="C55" s="7" t="inlineStr">
        <is>
          <t>% of the week's committed deliverables done. RUF's signature health metric.</t>
        </is>
      </c>
      <c r="F55" s="7" t="inlineStr"/>
    </row>
    <row r="56" ht="22" customHeight="1">
      <c r="A56" s="7" t="inlineStr"/>
      <c r="B56" s="12" t="inlineStr">
        <is>
          <t>5W Tradeoff</t>
        </is>
      </c>
      <c r="C56" s="7" t="inlineStr">
        <is>
          <t>Why, What, When, Who, WHY NOT — the frame of the Project Statement.</t>
        </is>
      </c>
      <c r="F56" s="7" t="inlineStr"/>
    </row>
  </sheetData>
  <mergeCells count="43">
    <mergeCell ref="C54:E54"/>
    <mergeCell ref="C50:E50"/>
    <mergeCell ref="C44:E44"/>
    <mergeCell ref="C55:E55"/>
    <mergeCell ref="A37:F37"/>
    <mergeCell ref="A27:F27"/>
    <mergeCell ref="C56:E56"/>
    <mergeCell ref="A18:F18"/>
    <mergeCell ref="A26:F26"/>
    <mergeCell ref="A21:F21"/>
    <mergeCell ref="C51:E51"/>
    <mergeCell ref="C46:E46"/>
    <mergeCell ref="A2:F2"/>
    <mergeCell ref="A33:F33"/>
    <mergeCell ref="A42:F42"/>
    <mergeCell ref="C52:E52"/>
    <mergeCell ref="A5:F5"/>
    <mergeCell ref="A32:F32"/>
    <mergeCell ref="A8:F8"/>
    <mergeCell ref="C48:E48"/>
    <mergeCell ref="A22:F22"/>
    <mergeCell ref="A17:F17"/>
    <mergeCell ref="A4:F4"/>
    <mergeCell ref="A20:F20"/>
    <mergeCell ref="A38:F38"/>
    <mergeCell ref="A10:F10"/>
    <mergeCell ref="A28:F28"/>
    <mergeCell ref="A19:F19"/>
    <mergeCell ref="C53:E53"/>
    <mergeCell ref="A31:F31"/>
    <mergeCell ref="C49:E49"/>
    <mergeCell ref="A34:F34"/>
    <mergeCell ref="A40:F40"/>
    <mergeCell ref="A30:F30"/>
    <mergeCell ref="A39:F39"/>
    <mergeCell ref="A24:F24"/>
    <mergeCell ref="A36:F36"/>
    <mergeCell ref="C45:E45"/>
    <mergeCell ref="A1:F1"/>
    <mergeCell ref="A6:F6"/>
    <mergeCell ref="A7:F7"/>
    <mergeCell ref="A25:F25"/>
    <mergeCell ref="C47:E47"/>
  </mergeCells>
  <pageMargins left="0.75" right="0.75" top="1" bottom="1" header="0.5" footer="0.5"/>
</worksheet>
</file>

<file path=xl/worksheets/sheet3.xml><?xml version="1.0" encoding="utf-8"?>
<worksheet xmlns="http://schemas.openxmlformats.org/spreadsheetml/2006/main">
  <sheetPr>
    <tabColor rgb="003D3A8C"/>
    <outlinePr summaryBelow="1" summaryRight="1"/>
    <pageSetUpPr/>
  </sheetPr>
  <dimension ref="A1:F74"/>
  <sheetViews>
    <sheetView showGridLines="0" zoomScale="100" workbookViewId="0">
      <pane ySplit="3" topLeftCell="A4" activePane="bottomLeft" state="frozen"/>
      <selection pane="bottomLeft" activeCell="A1" sqref="A1"/>
    </sheetView>
  </sheetViews>
  <sheetFormatPr baseColWidth="8" defaultRowHeight="15"/>
  <cols>
    <col width="22" customWidth="1" min="1" max="1"/>
    <col width="28" customWidth="1" min="2" max="2"/>
    <col width="28" customWidth="1" min="3" max="3"/>
    <col width="28" customWidth="1" min="4" max="4"/>
    <col width="28" customWidth="1" min="5" max="5"/>
    <col width="28" customWidth="1" min="6" max="6"/>
  </cols>
  <sheetData>
    <row r="1" ht="40" customHeight="1">
      <c r="A1" s="1" t="inlineStr">
        <is>
          <t>📜  RUF Project Statement</t>
        </is>
      </c>
      <c r="B1" s="2" t="n"/>
      <c r="C1" s="2" t="n"/>
      <c r="D1" s="2" t="n"/>
      <c r="E1" s="2" t="n"/>
      <c r="F1" s="2" t="n"/>
    </row>
    <row r="2" ht="22" customHeight="1">
      <c r="A2" s="3" t="inlineStr">
        <is>
          <t>One to three pages. The object of team commitment. Read line-by-line at the Definition Meeting. Built on the 5W Tradeoff: Why · What · When · Who · Why Not.</t>
        </is>
      </c>
      <c r="B2" s="2" t="n"/>
      <c r="C2" s="2" t="n"/>
      <c r="D2" s="2" t="n"/>
      <c r="E2" s="2" t="n"/>
      <c r="F2" s="2" t="n"/>
    </row>
    <row r="4" ht="42" customHeight="1">
      <c r="A4" s="32" t="inlineStr">
        <is>
          <t>💡 HOW TO USE: Fill every field in plain language a new team member could understand. Keep it short enough to read aloud. Every date is a TARGET until the Team Commitment decision point — then it becomes a COMMITMENT. Review this document at every WAM; any edit after commitment is a conscious, visible change decision.</t>
        </is>
      </c>
      <c r="B4" s="33" t="n"/>
      <c r="C4" s="33" t="n"/>
      <c r="D4" s="33" t="n"/>
      <c r="E4" s="33" t="n"/>
      <c r="F4" s="33" t="n"/>
    </row>
    <row r="6" ht="24" customHeight="1">
      <c r="A6" s="4" t="inlineStr">
        <is>
          <t>🪪  Identity</t>
        </is>
      </c>
      <c r="B6" s="2" t="n"/>
      <c r="C6" s="2" t="n"/>
      <c r="D6" s="2" t="n"/>
      <c r="E6" s="2" t="n"/>
      <c r="F6" s="2" t="n"/>
    </row>
    <row r="7" ht="22" customHeight="1">
      <c r="A7" s="34" t="inlineStr">
        <is>
          <t>Project Name</t>
        </is>
      </c>
      <c r="B7" s="35" t="inlineStr"/>
      <c r="C7" s="36" t="n"/>
      <c r="D7" s="36" t="n"/>
      <c r="E7" s="36" t="n"/>
      <c r="F7" s="36" t="n"/>
    </row>
    <row r="8" ht="22" customHeight="1">
      <c r="A8" s="34" t="inlineStr">
        <is>
          <t>Project Leader</t>
        </is>
      </c>
      <c r="B8" s="35" t="inlineStr"/>
      <c r="C8" s="36" t="n"/>
      <c r="D8" s="36" t="n"/>
      <c r="E8" s="36" t="n"/>
      <c r="F8" s="36" t="n"/>
    </row>
    <row r="9" ht="14" customHeight="1">
      <c r="A9" s="21" t="inlineStr">
        <is>
          <t>One name. The singular accountable owner of the project result — never a department or a pair.</t>
        </is>
      </c>
    </row>
    <row r="10" ht="22" customHeight="1">
      <c r="A10" s="34" t="inlineStr">
        <is>
          <t>Status</t>
        </is>
      </c>
      <c r="B10" s="35" t="inlineStr">
        <is>
          <t>Definition</t>
        </is>
      </c>
      <c r="C10" s="36" t="n"/>
      <c r="D10" s="36" t="n"/>
      <c r="E10" s="36" t="n"/>
      <c r="F10" s="36" t="n"/>
    </row>
    <row r="11" ht="22" customHeight="1">
      <c r="A11" s="34" t="inlineStr">
        <is>
          <t>Version / Last updated</t>
        </is>
      </c>
      <c r="B11" s="35" t="inlineStr">
        <is>
          <t xml:space="preserve">v0.1 — </t>
        </is>
      </c>
      <c r="C11" s="36" t="n"/>
      <c r="D11" s="36" t="n"/>
      <c r="E11" s="36" t="n"/>
      <c r="F11" s="36" t="n"/>
    </row>
    <row r="13" ht="24" customHeight="1">
      <c r="A13" s="4" t="inlineStr">
        <is>
          <t>❓  WHY — The Opportunity</t>
        </is>
      </c>
      <c r="B13" s="2" t="n"/>
      <c r="C13" s="2" t="n"/>
      <c r="D13" s="2" t="n"/>
      <c r="E13" s="2" t="n"/>
      <c r="F13" s="2" t="n"/>
    </row>
    <row r="14" ht="28" customHeight="1">
      <c r="A14" s="32" t="inlineStr">
        <is>
          <t>💡 Why this project, why now? What happens if we do nothing? This is the story that justifies the team's urgency.</t>
        </is>
      </c>
      <c r="B14" s="33" t="n"/>
      <c r="C14" s="33" t="n"/>
      <c r="D14" s="33" t="n"/>
      <c r="E14" s="33" t="n"/>
      <c r="F14" s="33" t="n"/>
    </row>
    <row r="15" ht="60" customHeight="1">
      <c r="A15" s="34" t="inlineStr">
        <is>
          <t>Opportunity / Problem</t>
        </is>
      </c>
      <c r="B15" s="35" t="inlineStr"/>
      <c r="C15" s="36" t="n"/>
      <c r="D15" s="36" t="n"/>
      <c r="E15" s="36" t="n"/>
      <c r="F15" s="36" t="n"/>
    </row>
    <row r="16" ht="40" customHeight="1">
      <c r="A16" s="34" t="inlineStr">
        <is>
          <t>Strategic fit</t>
        </is>
      </c>
      <c r="B16" s="35" t="inlineStr"/>
      <c r="C16" s="36" t="n"/>
      <c r="D16" s="36" t="n"/>
      <c r="E16" s="36" t="n"/>
      <c r="F16" s="36" t="n"/>
    </row>
    <row r="18" ht="24" customHeight="1">
      <c r="A18" s="4" t="inlineStr">
        <is>
          <t>🎯  WHAT — Deliverables &amp; Success Criteria</t>
        </is>
      </c>
      <c r="B18" s="2" t="n"/>
      <c r="C18" s="2" t="n"/>
      <c r="D18" s="2" t="n"/>
      <c r="E18" s="2" t="n"/>
      <c r="F18" s="2" t="n"/>
    </row>
    <row r="19" ht="28" customHeight="1">
      <c r="A19" s="32" t="inlineStr">
        <is>
          <t>💡 Deliverables are nouns, verifiable as done/not-done. Success criteria must be MEASURABLE and 'necessary and sufficient' — every team member must confirm they really agree on what each item means.</t>
        </is>
      </c>
      <c r="B19" s="33" t="n"/>
      <c r="C19" s="33" t="n"/>
      <c r="D19" s="33" t="n"/>
      <c r="E19" s="33" t="n"/>
      <c r="F19" s="33" t="n"/>
    </row>
    <row r="20" ht="30" customHeight="1">
      <c r="A20" s="6" t="inlineStr">
        <is>
          <t>#</t>
        </is>
      </c>
      <c r="B20" s="6" t="inlineStr">
        <is>
          <t>Deliverable</t>
        </is>
      </c>
      <c r="C20" s="6" t="inlineStr">
        <is>
          <t>Description</t>
        </is>
      </c>
      <c r="D20" s="6" t="inlineStr">
        <is>
          <t>Measure of success (transparent, verifiable)</t>
        </is>
      </c>
      <c r="E20" s="6" t="inlineStr">
        <is>
          <t>Accountable Owner (one name)</t>
        </is>
      </c>
      <c r="F20" s="6" t="inlineStr">
        <is>
          <t>Target/Committed date</t>
        </is>
      </c>
    </row>
    <row r="21" ht="24" customHeight="1">
      <c r="A21" s="37" t="n">
        <v>1</v>
      </c>
      <c r="B21" s="37" t="n"/>
      <c r="C21" s="37" t="n"/>
      <c r="D21" s="37" t="n"/>
      <c r="E21" s="37" t="n"/>
      <c r="F21" s="37" t="n"/>
    </row>
    <row r="22" ht="24" customHeight="1">
      <c r="A22" s="37" t="n">
        <v>2</v>
      </c>
      <c r="B22" s="37" t="n"/>
      <c r="C22" s="37" t="n"/>
      <c r="D22" s="37" t="n"/>
      <c r="E22" s="37" t="n"/>
      <c r="F22" s="37" t="n"/>
    </row>
    <row r="23" ht="24" customHeight="1">
      <c r="A23" s="37" t="n">
        <v>3</v>
      </c>
      <c r="B23" s="37" t="n"/>
      <c r="C23" s="37" t="n"/>
      <c r="D23" s="37" t="n"/>
      <c r="E23" s="37" t="n"/>
      <c r="F23" s="37" t="n"/>
    </row>
    <row r="24" ht="24" customHeight="1">
      <c r="A24" s="37" t="n">
        <v>4</v>
      </c>
      <c r="B24" s="37" t="n"/>
      <c r="C24" s="37" t="n"/>
      <c r="D24" s="37" t="n"/>
      <c r="E24" s="37" t="n"/>
      <c r="F24" s="37" t="n"/>
    </row>
    <row r="25" ht="24" customHeight="1">
      <c r="A25" s="37" t="n">
        <v>5</v>
      </c>
      <c r="B25" s="37" t="n"/>
      <c r="C25" s="37" t="n"/>
      <c r="D25" s="37" t="n"/>
      <c r="E25" s="37" t="n"/>
      <c r="F25" s="37" t="n"/>
    </row>
    <row r="26" ht="24" customHeight="1">
      <c r="A26" s="37" t="n">
        <v>6</v>
      </c>
      <c r="B26" s="37" t="n"/>
      <c r="C26" s="37" t="n"/>
      <c r="D26" s="37" t="n"/>
      <c r="E26" s="37" t="n"/>
      <c r="F26" s="37" t="n"/>
    </row>
    <row r="27" ht="24" customHeight="1">
      <c r="A27" s="37" t="n">
        <v>7</v>
      </c>
      <c r="B27" s="37" t="n"/>
      <c r="C27" s="37" t="n"/>
      <c r="D27" s="37" t="n"/>
      <c r="E27" s="37" t="n"/>
      <c r="F27" s="37" t="n"/>
    </row>
    <row r="28" ht="24" customHeight="1">
      <c r="A28" s="37" t="n">
        <v>8</v>
      </c>
      <c r="B28" s="37" t="n"/>
      <c r="C28" s="37" t="n"/>
      <c r="D28" s="37" t="n"/>
      <c r="E28" s="37" t="n"/>
      <c r="F28" s="37" t="n"/>
    </row>
    <row r="30" ht="24" customHeight="1">
      <c r="A30" s="4" t="inlineStr">
        <is>
          <t>🚧  Scope Boundaries — IS / IS NOT</t>
        </is>
      </c>
      <c r="B30" s="2" t="n"/>
      <c r="C30" s="2" t="n"/>
      <c r="D30" s="2" t="n"/>
      <c r="E30" s="2" t="n"/>
      <c r="F30" s="2" t="n"/>
    </row>
    <row r="31" ht="28" customHeight="1">
      <c r="A31" s="32" t="inlineStr">
        <is>
          <t>💡 The IS NOT column prevents the most expensive class of late change: silent scope growth. Be explicit about near-misses people might assume are in scope.</t>
        </is>
      </c>
      <c r="B31" s="33" t="n"/>
      <c r="C31" s="33" t="n"/>
      <c r="D31" s="33" t="n"/>
      <c r="E31" s="33" t="n"/>
      <c r="F31" s="33" t="n"/>
    </row>
    <row r="32" ht="30" customHeight="1">
      <c r="A32" s="6" t="inlineStr">
        <is>
          <t>✅ This project IS…</t>
        </is>
      </c>
      <c r="B32" s="38" t="n"/>
      <c r="C32" s="39" t="n"/>
      <c r="D32" s="6" t="inlineStr">
        <is>
          <t>🚫 This project IS NOT…</t>
        </is>
      </c>
      <c r="E32" s="38" t="n"/>
      <c r="F32" s="39" t="n"/>
    </row>
    <row r="33" ht="22" customHeight="1">
      <c r="A33" s="37" t="n"/>
      <c r="D33" s="37" t="n"/>
    </row>
    <row r="34" ht="22" customHeight="1">
      <c r="A34" s="37" t="n"/>
      <c r="D34" s="37" t="n"/>
    </row>
    <row r="35" ht="22" customHeight="1">
      <c r="A35" s="37" t="n"/>
      <c r="D35" s="37" t="n"/>
    </row>
    <row r="36" ht="22" customHeight="1">
      <c r="A36" s="37" t="n"/>
      <c r="D36" s="37" t="n"/>
    </row>
    <row r="37" ht="22" customHeight="1">
      <c r="A37" s="37" t="n"/>
      <c r="D37" s="37" t="n"/>
    </row>
    <row r="38" ht="22" customHeight="1">
      <c r="A38" s="37" t="n"/>
      <c r="D38" s="37" t="n"/>
    </row>
    <row r="40" ht="24" customHeight="1">
      <c r="A40" s="4" t="inlineStr">
        <is>
          <t>🗓  WHEN — Key Dates &amp; Decision Points</t>
        </is>
      </c>
      <c r="B40" s="2" t="n"/>
      <c r="C40" s="2" t="n"/>
      <c r="D40" s="2" t="n"/>
      <c r="E40" s="2" t="n"/>
      <c r="F40" s="2" t="n"/>
    </row>
    <row r="41" ht="30" customHeight="1">
      <c r="A41" s="6" t="inlineStr">
        <is>
          <t>Milestone / Decision Point</t>
        </is>
      </c>
      <c r="B41" s="6" t="inlineStr">
        <is>
          <t>Type</t>
        </is>
      </c>
      <c r="C41" s="6" t="inlineStr">
        <is>
          <t>Date</t>
        </is>
      </c>
      <c r="D41" s="6" t="inlineStr">
        <is>
          <t>Target or Committed?</t>
        </is>
      </c>
      <c r="E41" s="6" t="inlineStr">
        <is>
          <t>Owner</t>
        </is>
      </c>
      <c r="F41" s="6" t="inlineStr">
        <is>
          <t>Notes</t>
        </is>
      </c>
    </row>
    <row r="42" ht="22" customHeight="1">
      <c r="A42" s="7" t="inlineStr">
        <is>
          <t>Definition Meeting</t>
        </is>
      </c>
      <c r="B42" s="7" t="inlineStr">
        <is>
          <t>DKDK Meeting</t>
        </is>
      </c>
      <c r="C42" s="7" t="inlineStr"/>
      <c r="D42" s="7" t="inlineStr">
        <is>
          <t>Target</t>
        </is>
      </c>
      <c r="E42" s="7" t="inlineStr"/>
      <c r="F42" s="7" t="inlineStr"/>
    </row>
    <row r="43" ht="22" customHeight="1">
      <c r="A43" s="7" t="inlineStr">
        <is>
          <t>Team Commitment</t>
        </is>
      </c>
      <c r="B43" s="7" t="inlineStr">
        <is>
          <t>Decision Point</t>
        </is>
      </c>
      <c r="C43" s="7" t="inlineStr"/>
      <c r="D43" s="7" t="inlineStr">
        <is>
          <t>Target</t>
        </is>
      </c>
      <c r="E43" s="7" t="inlineStr"/>
      <c r="F43" s="7" t="inlineStr">
        <is>
          <t>Gate: ~25–30% of early-identified risks retired</t>
        </is>
      </c>
    </row>
    <row r="44" ht="22" customHeight="1">
      <c r="A44" s="7" t="inlineStr"/>
      <c r="B44" s="7" t="inlineStr"/>
      <c r="C44" s="7" t="inlineStr"/>
      <c r="D44" s="7" t="inlineStr"/>
      <c r="E44" s="7" t="inlineStr"/>
      <c r="F44" s="7" t="inlineStr"/>
    </row>
    <row r="45" ht="22" customHeight="1">
      <c r="A45" s="7" t="inlineStr">
        <is>
          <t>Release</t>
        </is>
      </c>
      <c r="B45" s="7" t="inlineStr">
        <is>
          <t>Decision Point</t>
        </is>
      </c>
      <c r="C45" s="7" t="inlineStr"/>
      <c r="D45" s="7" t="inlineStr">
        <is>
          <t>Target</t>
        </is>
      </c>
      <c r="E45" s="7" t="inlineStr"/>
      <c r="F45" s="7" t="inlineStr"/>
    </row>
    <row r="46" ht="22" customHeight="1">
      <c r="A46" s="37" t="n"/>
      <c r="B46" s="37" t="n"/>
      <c r="C46" s="37" t="n"/>
      <c r="D46" s="37" t="n"/>
      <c r="E46" s="37" t="n"/>
      <c r="F46" s="37" t="n"/>
    </row>
    <row r="47" ht="22" customHeight="1">
      <c r="A47" s="40" t="n"/>
      <c r="B47" s="40" t="n"/>
      <c r="C47" s="40" t="n"/>
      <c r="D47" s="40" t="n"/>
      <c r="E47" s="40" t="n"/>
      <c r="F47" s="40" t="n"/>
    </row>
    <row r="48" ht="22" customHeight="1">
      <c r="A48" s="37" t="n"/>
      <c r="B48" s="37" t="n"/>
      <c r="C48" s="37" t="n"/>
      <c r="D48" s="37" t="n"/>
      <c r="E48" s="37" t="n"/>
      <c r="F48" s="37" t="n"/>
    </row>
    <row r="49" ht="22" customHeight="1">
      <c r="A49" s="40" t="n"/>
      <c r="B49" s="40" t="n"/>
      <c r="C49" s="40" t="n"/>
      <c r="D49" s="40" t="n"/>
      <c r="E49" s="40" t="n"/>
      <c r="F49" s="40" t="n"/>
    </row>
    <row r="51" ht="24" customHeight="1">
      <c r="A51" s="4" t="inlineStr">
        <is>
          <t>👥  WHO — Team &amp; Skills (summary; full roster on 👥 Team List)</t>
        </is>
      </c>
      <c r="B51" s="2" t="n"/>
      <c r="C51" s="2" t="n"/>
      <c r="D51" s="2" t="n"/>
      <c r="E51" s="2" t="n"/>
      <c r="F51" s="2" t="n"/>
    </row>
    <row r="52" ht="40" customHeight="1">
      <c r="A52" s="34" t="inlineStr">
        <is>
          <t>Functions required to ship</t>
        </is>
      </c>
      <c r="B52" s="35" t="inlineStr"/>
      <c r="C52" s="36" t="n"/>
      <c r="D52" s="36" t="n"/>
      <c r="E52" s="36" t="n"/>
      <c r="F52" s="36" t="n"/>
    </row>
    <row r="53" ht="26" customHeight="1">
      <c r="A53" s="21" t="inlineStr">
        <is>
          <t>Engineering, QA, support, sales, legal, ops, manufacturing, marketing… A function needed to ship with no name on the Team List is a structural risk — add it to the RAP.</t>
        </is>
      </c>
    </row>
    <row r="55" ht="24" customHeight="1">
      <c r="A55" s="4" t="inlineStr">
        <is>
          <t>⚖️  WHY NOT — Risks, Costs &amp; Tradeoffs (the honest case against)</t>
        </is>
      </c>
      <c r="B55" s="2" t="n"/>
      <c r="C55" s="2" t="n"/>
      <c r="D55" s="2" t="n"/>
      <c r="E55" s="2" t="n"/>
      <c r="F55" s="2" t="n"/>
    </row>
    <row r="56" ht="42" customHeight="1">
      <c r="A56" s="32" t="inlineStr">
        <is>
          <t>💡 The distinctive fifth W. Summarize the top risks and what this project displaces. If Why Not overwhelms Why, change the definition: 'If your project has too many risks, it's time to evaluate your Project Definition.' Full risk detail lives on the ⚠️ RAP sheet.</t>
        </is>
      </c>
      <c r="B56" s="33" t="n"/>
      <c r="C56" s="33" t="n"/>
      <c r="D56" s="33" t="n"/>
      <c r="E56" s="33" t="n"/>
      <c r="F56" s="33" t="n"/>
    </row>
    <row r="57" ht="60" customHeight="1">
      <c r="A57" s="34" t="inlineStr">
        <is>
          <t>Top risks (summary)</t>
        </is>
      </c>
      <c r="B57" s="35" t="inlineStr"/>
      <c r="C57" s="36" t="n"/>
      <c r="D57" s="36" t="n"/>
      <c r="E57" s="36" t="n"/>
      <c r="F57" s="36" t="n"/>
    </row>
    <row r="58" ht="40" customHeight="1">
      <c r="A58" s="34" t="inlineStr">
        <is>
          <t>Tradeoffs / displaced work</t>
        </is>
      </c>
      <c r="B58" s="35" t="inlineStr"/>
      <c r="C58" s="36" t="n"/>
      <c r="D58" s="36" t="n"/>
      <c r="E58" s="36" t="n"/>
      <c r="F58" s="36" t="n"/>
    </row>
    <row r="59" ht="40" customHeight="1">
      <c r="A59" s="34" t="inlineStr">
        <is>
          <t>Cost of being late (summary)</t>
        </is>
      </c>
      <c r="B59" s="35" t="inlineStr"/>
      <c r="C59" s="36" t="n"/>
      <c r="D59" s="36" t="n"/>
      <c r="E59" s="36" t="n"/>
      <c r="F59" s="36" t="n"/>
    </row>
    <row r="60" ht="14" customHeight="1">
      <c r="A60" s="21" t="inlineStr">
        <is>
          <t>Full narrative and numbers on the 💸 Cost of Being Late sheet.</t>
        </is>
      </c>
    </row>
    <row r="62" ht="24" customHeight="1">
      <c r="A62" s="28" t="inlineStr">
        <is>
          <t>🤝  TEAM COMMITMENT</t>
        </is>
      </c>
      <c r="B62" s="29" t="n"/>
      <c r="C62" s="29" t="n"/>
      <c r="D62" s="29" t="n"/>
      <c r="E62" s="29" t="n"/>
      <c r="F62" s="29" t="n"/>
    </row>
    <row r="63" ht="42" customHeight="1">
      <c r="A63" s="41" t="inlineStr">
        <is>
          <t>💡 At the Team Commitment decision point, each member commits out loud, in the language of commitment: 'I commit to this project as defined in this statement. It will be so, even in the face of circumstances.' Record it here.</t>
        </is>
      </c>
      <c r="B63" s="33" t="n"/>
      <c r="C63" s="33" t="n"/>
      <c r="D63" s="33" t="n"/>
      <c r="E63" s="33" t="n"/>
      <c r="F63" s="33" t="n"/>
    </row>
    <row r="64" ht="30" customHeight="1">
      <c r="A64" s="42" t="inlineStr">
        <is>
          <t>Name</t>
        </is>
      </c>
      <c r="B64" s="42" t="inlineStr">
        <is>
          <t>Role</t>
        </is>
      </c>
      <c r="C64" s="42" t="inlineStr">
        <is>
          <t>Commitment statement</t>
        </is>
      </c>
      <c r="D64" s="42" t="inlineStr">
        <is>
          <t>Date committed</t>
        </is>
      </c>
      <c r="E64" s="42" t="inlineStr">
        <is>
          <t>Signature/initials</t>
        </is>
      </c>
      <c r="F64" s="42" t="inlineStr">
        <is>
          <t>Notes</t>
        </is>
      </c>
    </row>
    <row r="65" ht="20" customHeight="1">
      <c r="A65" s="37" t="n"/>
      <c r="B65" s="37" t="n"/>
      <c r="C65" s="37" t="n"/>
      <c r="D65" s="37" t="n"/>
      <c r="E65" s="37" t="n"/>
      <c r="F65" s="37" t="n"/>
    </row>
    <row r="66" ht="20" customHeight="1">
      <c r="A66" s="40" t="n"/>
      <c r="B66" s="40" t="n"/>
      <c r="C66" s="40" t="n"/>
      <c r="D66" s="40" t="n"/>
      <c r="E66" s="40" t="n"/>
      <c r="F66" s="40" t="n"/>
    </row>
    <row r="67" ht="20" customHeight="1">
      <c r="A67" s="37" t="n"/>
      <c r="B67" s="37" t="n"/>
      <c r="C67" s="37" t="n"/>
      <c r="D67" s="37" t="n"/>
      <c r="E67" s="37" t="n"/>
      <c r="F67" s="37" t="n"/>
    </row>
    <row r="68" ht="20" customHeight="1">
      <c r="A68" s="40" t="n"/>
      <c r="B68" s="40" t="n"/>
      <c r="C68" s="40" t="n"/>
      <c r="D68" s="40" t="n"/>
      <c r="E68" s="40" t="n"/>
      <c r="F68" s="40" t="n"/>
    </row>
    <row r="69" ht="20" customHeight="1">
      <c r="A69" s="37" t="n"/>
      <c r="B69" s="37" t="n"/>
      <c r="C69" s="37" t="n"/>
      <c r="D69" s="37" t="n"/>
      <c r="E69" s="37" t="n"/>
      <c r="F69" s="37" t="n"/>
    </row>
    <row r="70" ht="20" customHeight="1">
      <c r="A70" s="40" t="n"/>
      <c r="B70" s="40" t="n"/>
      <c r="C70" s="40" t="n"/>
      <c r="D70" s="40" t="n"/>
      <c r="E70" s="40" t="n"/>
      <c r="F70" s="40" t="n"/>
    </row>
    <row r="71" ht="20" customHeight="1">
      <c r="A71" s="37" t="n"/>
      <c r="B71" s="37" t="n"/>
      <c r="C71" s="37" t="n"/>
      <c r="D71" s="37" t="n"/>
      <c r="E71" s="37" t="n"/>
      <c r="F71" s="37" t="n"/>
    </row>
    <row r="72" ht="20" customHeight="1">
      <c r="A72" s="40" t="n"/>
      <c r="B72" s="40" t="n"/>
      <c r="C72" s="40" t="n"/>
      <c r="D72" s="40" t="n"/>
      <c r="E72" s="40" t="n"/>
      <c r="F72" s="40" t="n"/>
    </row>
    <row r="73" ht="20" customHeight="1">
      <c r="A73" s="37" t="n"/>
      <c r="B73" s="37" t="n"/>
      <c r="C73" s="37" t="n"/>
      <c r="D73" s="37" t="n"/>
      <c r="E73" s="37" t="n"/>
      <c r="F73" s="37" t="n"/>
    </row>
    <row r="74" ht="20" customHeight="1">
      <c r="A74" s="40" t="n"/>
      <c r="B74" s="40" t="n"/>
      <c r="C74" s="40" t="n"/>
      <c r="D74" s="40" t="n"/>
      <c r="E74" s="40" t="n"/>
      <c r="F74" s="40" t="n"/>
    </row>
  </sheetData>
  <mergeCells count="43">
    <mergeCell ref="B7:F7"/>
    <mergeCell ref="B16:F16"/>
    <mergeCell ref="A37:C37"/>
    <mergeCell ref="D32:F32"/>
    <mergeCell ref="B59:F59"/>
    <mergeCell ref="A18:F18"/>
    <mergeCell ref="A56:F56"/>
    <mergeCell ref="A55:F55"/>
    <mergeCell ref="B58:F58"/>
    <mergeCell ref="B52:F52"/>
    <mergeCell ref="A2:F2"/>
    <mergeCell ref="A33:C33"/>
    <mergeCell ref="D37:F37"/>
    <mergeCell ref="A14:F14"/>
    <mergeCell ref="A32:C32"/>
    <mergeCell ref="B11:F11"/>
    <mergeCell ref="A4:F4"/>
    <mergeCell ref="B8:F8"/>
    <mergeCell ref="A35:C35"/>
    <mergeCell ref="A62:F62"/>
    <mergeCell ref="A53:F53"/>
    <mergeCell ref="D33:F33"/>
    <mergeCell ref="A38:C38"/>
    <mergeCell ref="B57:F57"/>
    <mergeCell ref="D38:F38"/>
    <mergeCell ref="A63:F63"/>
    <mergeCell ref="A13:F13"/>
    <mergeCell ref="A19:F19"/>
    <mergeCell ref="B10:F10"/>
    <mergeCell ref="A9:F9"/>
    <mergeCell ref="A31:F31"/>
    <mergeCell ref="D35:F35"/>
    <mergeCell ref="A40:F40"/>
    <mergeCell ref="A34:C34"/>
    <mergeCell ref="A30:F30"/>
    <mergeCell ref="D34:F34"/>
    <mergeCell ref="A51:F51"/>
    <mergeCell ref="A36:C36"/>
    <mergeCell ref="A60:F60"/>
    <mergeCell ref="B15:F15"/>
    <mergeCell ref="A1:F1"/>
    <mergeCell ref="D36:F36"/>
    <mergeCell ref="A6:F6"/>
  </mergeCells>
  <conditionalFormatting sqref="D42:D49">
    <cfRule type="cellIs" priority="1" operator="equal" dxfId="0">
      <formula>"Committed"</formula>
    </cfRule>
    <cfRule type="cellIs" priority="2" operator="equal" dxfId="1">
      <formula>"Target"</formula>
    </cfRule>
  </conditionalFormatting>
  <dataValidations count="2">
    <dataValidation sqref="B10" showDropDown="0" showInputMessage="0" showErrorMessage="0" allowBlank="1" promptTitle="Project status" type="list">
      <formula1>"Definition,Committed,Delivery,Released,Closed,On Hold,Cancelled"</formula1>
    </dataValidation>
    <dataValidation sqref="D42:D49" showDropDown="0" showInputMessage="1" showErrorMessage="0" allowBlank="1" promptTitle="Date status" prompt="Dates are Targets until the Team Commitment decision point." type="list">
      <formula1>"Target,Committed"</formula1>
    </dataValidation>
  </dataValidations>
  <pageMargins left="0.75" right="0.75" top="1" bottom="1" header="0.5" footer="0.5"/>
</worksheet>
</file>

<file path=xl/worksheets/sheet4.xml><?xml version="1.0" encoding="utf-8"?>
<worksheet xmlns="http://schemas.openxmlformats.org/spreadsheetml/2006/main">
  <sheetPr>
    <tabColor rgb="000E7C66"/>
    <outlinePr summaryBelow="1" summaryRight="1"/>
    <pageSetUpPr/>
  </sheetPr>
  <dimension ref="A1:I37"/>
  <sheetViews>
    <sheetView showGridLines="0" zoomScale="100" workbookViewId="0">
      <pane ySplit="6" topLeftCell="A7" activePane="bottomLeft" state="frozen"/>
      <selection pane="bottomLeft" activeCell="A1" sqref="A1"/>
    </sheetView>
  </sheetViews>
  <sheetFormatPr baseColWidth="8" defaultRowHeight="15"/>
  <cols>
    <col width="18" customWidth="1" min="1" max="1"/>
    <col width="16" customWidth="1" min="2" max="2"/>
    <col width="16" customWidth="1" min="3" max="3"/>
    <col width="42" customWidth="1" min="4" max="4"/>
    <col width="10" customWidth="1" min="5" max="5"/>
    <col width="18" customWidth="1" min="6" max="6"/>
    <col width="14" customWidth="1" min="7" max="7"/>
    <col width="22" customWidth="1" min="8" max="8"/>
    <col width="26" customWidth="1" min="9" max="9"/>
  </cols>
  <sheetData>
    <row r="1" ht="40" customHeight="1">
      <c r="A1" s="43" t="inlineStr">
        <is>
          <t>👥  RUF Team List</t>
        </is>
      </c>
      <c r="B1" s="44" t="n"/>
      <c r="C1" s="44" t="n"/>
      <c r="D1" s="44" t="n"/>
      <c r="E1" s="44" t="n"/>
      <c r="F1" s="44" t="n"/>
      <c r="G1" s="44" t="n"/>
      <c r="H1" s="44" t="n"/>
      <c r="I1" s="44" t="n"/>
    </row>
    <row r="2" ht="22" customHeight="1">
      <c r="A2" s="45" t="inlineStr">
        <is>
          <t>Names, never job titles alone. Everyone who holds an accountability on this project — the full cross-functional team.</t>
        </is>
      </c>
      <c r="B2" s="44" t="n"/>
      <c r="C2" s="44" t="n"/>
      <c r="D2" s="44" t="n"/>
      <c r="E2" s="44" t="n"/>
      <c r="F2" s="44" t="n"/>
      <c r="G2" s="44" t="n"/>
      <c r="H2" s="44" t="n"/>
      <c r="I2" s="44" t="n"/>
    </row>
    <row r="4" ht="56" customHeight="1">
      <c r="A4" s="46" t="inlineStr">
        <is>
          <t>💡 HOW TO USE: One row per person. 'Accountabilities' are RESULTS this person singularly owns (nouns, verifiable), not activities. A person is on this list only when they have AGREED to their accountabilities and allocation — accountability imposed without consent is not accountability. Each person also completes a one-pager on the 🧭 Individual Accountabilities sheet.</t>
        </is>
      </c>
      <c r="B4" s="33" t="n"/>
      <c r="C4" s="33" t="n"/>
      <c r="D4" s="33" t="n"/>
      <c r="E4" s="33" t="n"/>
      <c r="F4" s="33" t="n"/>
      <c r="G4" s="33" t="n"/>
      <c r="H4" s="33" t="n"/>
      <c r="I4" s="33" t="n"/>
    </row>
    <row r="6" ht="30" customHeight="1">
      <c r="A6" s="47" t="inlineStr">
        <is>
          <t>Name</t>
        </is>
      </c>
      <c r="B6" s="47" t="inlineStr">
        <is>
          <t>Role on project</t>
        </is>
      </c>
      <c r="C6" s="47" t="inlineStr">
        <is>
          <t>Function / Dept</t>
        </is>
      </c>
      <c r="D6" s="47" t="inlineStr">
        <is>
          <t>Accountabilities (results singularly owned)</t>
        </is>
      </c>
      <c r="E6" s="47" t="inlineStr">
        <is>
          <t>% time</t>
        </is>
      </c>
      <c r="F6" s="47" t="inlineStr">
        <is>
          <t>Agreed &amp; committed?</t>
        </is>
      </c>
      <c r="G6" s="47" t="inlineStr">
        <is>
          <t>Date agreed</t>
        </is>
      </c>
      <c r="H6" s="47" t="inlineStr">
        <is>
          <t>Contact</t>
        </is>
      </c>
      <c r="I6" s="47" t="inlineStr">
        <is>
          <t>Notes / coverage risks</t>
        </is>
      </c>
    </row>
    <row r="7" ht="24" customHeight="1">
      <c r="A7" s="7" t="inlineStr"/>
      <c r="B7" s="7" t="inlineStr">
        <is>
          <t>Project Leader</t>
        </is>
      </c>
      <c r="C7" s="7" t="inlineStr"/>
      <c r="D7" s="7" t="inlineStr">
        <is>
          <t>The project result: delivery of the Project Statement in full</t>
        </is>
      </c>
      <c r="E7" s="7" t="inlineStr"/>
      <c r="F7" s="7" t="inlineStr"/>
      <c r="G7" s="7" t="inlineStr"/>
      <c r="H7" s="7" t="inlineStr"/>
      <c r="I7" s="7" t="inlineStr"/>
    </row>
    <row r="8" ht="24" customHeight="1">
      <c r="A8" s="37" t="n"/>
      <c r="B8" s="37" t="n"/>
      <c r="C8" s="37" t="n"/>
      <c r="D8" s="37" t="n"/>
      <c r="E8" s="37" t="n"/>
      <c r="F8" s="37" t="n"/>
      <c r="G8" s="37" t="n"/>
      <c r="H8" s="37" t="n"/>
      <c r="I8" s="37" t="n"/>
    </row>
    <row r="9" ht="24" customHeight="1">
      <c r="A9" s="40" t="n"/>
      <c r="B9" s="40" t="n"/>
      <c r="C9" s="40" t="n"/>
      <c r="D9" s="40" t="n"/>
      <c r="E9" s="40" t="n"/>
      <c r="F9" s="40" t="n"/>
      <c r="G9" s="40" t="n"/>
      <c r="H9" s="40" t="n"/>
      <c r="I9" s="40" t="n"/>
    </row>
    <row r="10" ht="24" customHeight="1">
      <c r="A10" s="37" t="n"/>
      <c r="B10" s="37" t="n"/>
      <c r="C10" s="37" t="n"/>
      <c r="D10" s="37" t="n"/>
      <c r="E10" s="37" t="n"/>
      <c r="F10" s="37" t="n"/>
      <c r="G10" s="37" t="n"/>
      <c r="H10" s="37" t="n"/>
      <c r="I10" s="37" t="n"/>
    </row>
    <row r="11" ht="24" customHeight="1">
      <c r="A11" s="40" t="n"/>
      <c r="B11" s="40" t="n"/>
      <c r="C11" s="40" t="n"/>
      <c r="D11" s="40" t="n"/>
      <c r="E11" s="40" t="n"/>
      <c r="F11" s="40" t="n"/>
      <c r="G11" s="40" t="n"/>
      <c r="H11" s="40" t="n"/>
      <c r="I11" s="40" t="n"/>
    </row>
    <row r="12" ht="24" customHeight="1">
      <c r="A12" s="37" t="n"/>
      <c r="B12" s="37" t="n"/>
      <c r="C12" s="37" t="n"/>
      <c r="D12" s="37" t="n"/>
      <c r="E12" s="37" t="n"/>
      <c r="F12" s="37" t="n"/>
      <c r="G12" s="37" t="n"/>
      <c r="H12" s="37" t="n"/>
      <c r="I12" s="37" t="n"/>
    </row>
    <row r="13" ht="24" customHeight="1">
      <c r="A13" s="40" t="n"/>
      <c r="B13" s="40" t="n"/>
      <c r="C13" s="40" t="n"/>
      <c r="D13" s="40" t="n"/>
      <c r="E13" s="40" t="n"/>
      <c r="F13" s="40" t="n"/>
      <c r="G13" s="40" t="n"/>
      <c r="H13" s="40" t="n"/>
      <c r="I13" s="40" t="n"/>
    </row>
    <row r="14" ht="24" customHeight="1">
      <c r="A14" s="37" t="n"/>
      <c r="B14" s="37" t="n"/>
      <c r="C14" s="37" t="n"/>
      <c r="D14" s="37" t="n"/>
      <c r="E14" s="37" t="n"/>
      <c r="F14" s="37" t="n"/>
      <c r="G14" s="37" t="n"/>
      <c r="H14" s="37" t="n"/>
      <c r="I14" s="37" t="n"/>
    </row>
    <row r="15" ht="24" customHeight="1">
      <c r="A15" s="40" t="n"/>
      <c r="B15" s="40" t="n"/>
      <c r="C15" s="40" t="n"/>
      <c r="D15" s="40" t="n"/>
      <c r="E15" s="40" t="n"/>
      <c r="F15" s="40" t="n"/>
      <c r="G15" s="40" t="n"/>
      <c r="H15" s="40" t="n"/>
      <c r="I15" s="40" t="n"/>
    </row>
    <row r="16" ht="24" customHeight="1">
      <c r="A16" s="37" t="n"/>
      <c r="B16" s="37" t="n"/>
      <c r="C16" s="37" t="n"/>
      <c r="D16" s="37" t="n"/>
      <c r="E16" s="37" t="n"/>
      <c r="F16" s="37" t="n"/>
      <c r="G16" s="37" t="n"/>
      <c r="H16" s="37" t="n"/>
      <c r="I16" s="37" t="n"/>
    </row>
    <row r="17" ht="24" customHeight="1">
      <c r="A17" s="40" t="n"/>
      <c r="B17" s="40" t="n"/>
      <c r="C17" s="40" t="n"/>
      <c r="D17" s="40" t="n"/>
      <c r="E17" s="40" t="n"/>
      <c r="F17" s="40" t="n"/>
      <c r="G17" s="40" t="n"/>
      <c r="H17" s="40" t="n"/>
      <c r="I17" s="40" t="n"/>
    </row>
    <row r="18" ht="24" customHeight="1">
      <c r="A18" s="37" t="n"/>
      <c r="B18" s="37" t="n"/>
      <c r="C18" s="37" t="n"/>
      <c r="D18" s="37" t="n"/>
      <c r="E18" s="37" t="n"/>
      <c r="F18" s="37" t="n"/>
      <c r="G18" s="37" t="n"/>
      <c r="H18" s="37" t="n"/>
      <c r="I18" s="37" t="n"/>
    </row>
    <row r="19" ht="24" customHeight="1">
      <c r="A19" s="40" t="n"/>
      <c r="B19" s="40" t="n"/>
      <c r="C19" s="40" t="n"/>
      <c r="D19" s="40" t="n"/>
      <c r="E19" s="40" t="n"/>
      <c r="F19" s="40" t="n"/>
      <c r="G19" s="40" t="n"/>
      <c r="H19" s="40" t="n"/>
      <c r="I19" s="40" t="n"/>
    </row>
    <row r="20" ht="24" customHeight="1">
      <c r="A20" s="37" t="n"/>
      <c r="B20" s="37" t="n"/>
      <c r="C20" s="37" t="n"/>
      <c r="D20" s="37" t="n"/>
      <c r="E20" s="37" t="n"/>
      <c r="F20" s="37" t="n"/>
      <c r="G20" s="37" t="n"/>
      <c r="H20" s="37" t="n"/>
      <c r="I20" s="37" t="n"/>
    </row>
    <row r="21" ht="24" customHeight="1">
      <c r="A21" s="40" t="n"/>
      <c r="B21" s="40" t="n"/>
      <c r="C21" s="40" t="n"/>
      <c r="D21" s="40" t="n"/>
      <c r="E21" s="40" t="n"/>
      <c r="F21" s="40" t="n"/>
      <c r="G21" s="40" t="n"/>
      <c r="H21" s="40" t="n"/>
      <c r="I21" s="40" t="n"/>
    </row>
    <row r="22" ht="24" customHeight="1">
      <c r="A22" s="37" t="n"/>
      <c r="B22" s="37" t="n"/>
      <c r="C22" s="37" t="n"/>
      <c r="D22" s="37" t="n"/>
      <c r="E22" s="37" t="n"/>
      <c r="F22" s="37" t="n"/>
      <c r="G22" s="37" t="n"/>
      <c r="H22" s="37" t="n"/>
      <c r="I22" s="37" t="n"/>
    </row>
    <row r="23" ht="24" customHeight="1">
      <c r="A23" s="40" t="n"/>
      <c r="B23" s="40" t="n"/>
      <c r="C23" s="40" t="n"/>
      <c r="D23" s="40" t="n"/>
      <c r="E23" s="40" t="n"/>
      <c r="F23" s="40" t="n"/>
      <c r="G23" s="40" t="n"/>
      <c r="H23" s="40" t="n"/>
      <c r="I23" s="40" t="n"/>
    </row>
    <row r="24" ht="24" customHeight="1">
      <c r="A24" s="37" t="n"/>
      <c r="B24" s="37" t="n"/>
      <c r="C24" s="37" t="n"/>
      <c r="D24" s="37" t="n"/>
      <c r="E24" s="37" t="n"/>
      <c r="F24" s="37" t="n"/>
      <c r="G24" s="37" t="n"/>
      <c r="H24" s="37" t="n"/>
      <c r="I24" s="37" t="n"/>
    </row>
    <row r="25" ht="24" customHeight="1">
      <c r="A25" s="40" t="n"/>
      <c r="B25" s="40" t="n"/>
      <c r="C25" s="40" t="n"/>
      <c r="D25" s="40" t="n"/>
      <c r="E25" s="40" t="n"/>
      <c r="F25" s="40" t="n"/>
      <c r="G25" s="40" t="n"/>
      <c r="H25" s="40" t="n"/>
      <c r="I25" s="40" t="n"/>
    </row>
    <row r="27" ht="24" customHeight="1">
      <c r="A27" s="48" t="inlineStr">
        <is>
          <t>🧩  Function coverage check</t>
        </is>
      </c>
      <c r="B27" s="44" t="n"/>
      <c r="C27" s="44" t="n"/>
      <c r="D27" s="44" t="n"/>
      <c r="E27" s="44" t="n"/>
      <c r="F27" s="44" t="n"/>
      <c r="G27" s="44" t="n"/>
      <c r="H27" s="44" t="n"/>
      <c r="I27" s="44" t="n"/>
    </row>
    <row r="28" ht="28" customHeight="1">
      <c r="A28" s="46" t="inlineStr">
        <is>
          <t>💡 List every function needed to SHIP (not just build). Any function without a name above is a structural risk — add it to the ⚠️ RAP in CEI form.</t>
        </is>
      </c>
      <c r="B28" s="33" t="n"/>
      <c r="C28" s="33" t="n"/>
      <c r="D28" s="33" t="n"/>
      <c r="E28" s="33" t="n"/>
      <c r="F28" s="33" t="n"/>
      <c r="G28" s="33" t="n"/>
      <c r="H28" s="33" t="n"/>
      <c r="I28" s="33" t="n"/>
    </row>
    <row r="29" ht="30" customHeight="1">
      <c r="A29" s="47" t="inlineStr">
        <is>
          <t>Function needed to ship</t>
        </is>
      </c>
      <c r="B29" s="47" t="inlineStr">
        <is>
          <t>Covered by (name)</t>
        </is>
      </c>
      <c r="C29" s="47" t="inlineStr">
        <is>
          <t>Gap? (auto-flag empty)</t>
        </is>
      </c>
      <c r="D29" s="47" t="inlineStr"/>
      <c r="E29" s="47" t="inlineStr"/>
      <c r="F29" s="47" t="inlineStr"/>
      <c r="G29" s="47" t="inlineStr"/>
      <c r="H29" s="47" t="inlineStr"/>
      <c r="I29" s="47" t="inlineStr"/>
    </row>
    <row r="30" ht="20" customHeight="1">
      <c r="A30" s="7" t="inlineStr">
        <is>
          <t>Engineering / Build</t>
        </is>
      </c>
      <c r="B30" s="7" t="inlineStr"/>
      <c r="C30" s="7" t="inlineStr"/>
      <c r="D30" s="7" t="inlineStr"/>
      <c r="E30" s="7" t="inlineStr"/>
      <c r="F30" s="7" t="inlineStr"/>
      <c r="G30" s="7" t="inlineStr"/>
      <c r="H30" s="7" t="inlineStr"/>
      <c r="I30" s="7" t="inlineStr"/>
    </row>
    <row r="31" ht="20" customHeight="1">
      <c r="A31" s="7" t="inlineStr">
        <is>
          <t>QA / Test</t>
        </is>
      </c>
      <c r="B31" s="7" t="inlineStr"/>
      <c r="C31" s="7" t="inlineStr"/>
      <c r="D31" s="7" t="inlineStr"/>
      <c r="E31" s="7" t="inlineStr"/>
      <c r="F31" s="7" t="inlineStr"/>
      <c r="G31" s="7" t="inlineStr"/>
      <c r="H31" s="7" t="inlineStr"/>
      <c r="I31" s="7" t="inlineStr"/>
    </row>
    <row r="32" ht="20" customHeight="1">
      <c r="A32" s="7" t="inlineStr">
        <is>
          <t>Operations / Support</t>
        </is>
      </c>
      <c r="B32" s="7" t="inlineStr"/>
      <c r="C32" s="7" t="inlineStr"/>
      <c r="D32" s="7" t="inlineStr"/>
      <c r="E32" s="7" t="inlineStr"/>
      <c r="F32" s="7" t="inlineStr"/>
      <c r="G32" s="7" t="inlineStr"/>
      <c r="H32" s="7" t="inlineStr"/>
      <c r="I32" s="7" t="inlineStr"/>
    </row>
    <row r="33" ht="20" customHeight="1">
      <c r="A33" s="7" t="inlineStr">
        <is>
          <t>Sales / Marketing</t>
        </is>
      </c>
      <c r="B33" s="7" t="inlineStr"/>
      <c r="C33" s="7" t="inlineStr"/>
      <c r="D33" s="7" t="inlineStr"/>
      <c r="E33" s="7" t="inlineStr"/>
      <c r="F33" s="7" t="inlineStr"/>
      <c r="G33" s="7" t="inlineStr"/>
      <c r="H33" s="7" t="inlineStr"/>
      <c r="I33" s="7" t="inlineStr"/>
    </row>
    <row r="34" ht="20" customHeight="1">
      <c r="A34" s="7" t="inlineStr">
        <is>
          <t>Legal / Compliance</t>
        </is>
      </c>
      <c r="B34" s="7" t="inlineStr"/>
      <c r="C34" s="7" t="inlineStr"/>
      <c r="D34" s="7" t="inlineStr"/>
      <c r="E34" s="7" t="inlineStr"/>
      <c r="F34" s="7" t="inlineStr"/>
      <c r="G34" s="7" t="inlineStr"/>
      <c r="H34" s="7" t="inlineStr"/>
      <c r="I34" s="7" t="inlineStr"/>
    </row>
    <row r="35" ht="20" customHeight="1">
      <c r="A35" s="7" t="inlineStr">
        <is>
          <t>Finance</t>
        </is>
      </c>
      <c r="B35" s="7" t="inlineStr"/>
      <c r="C35" s="7" t="inlineStr"/>
      <c r="D35" s="7" t="inlineStr"/>
      <c r="E35" s="7" t="inlineStr"/>
      <c r="F35" s="7" t="inlineStr"/>
      <c r="G35" s="7" t="inlineStr"/>
      <c r="H35" s="7" t="inlineStr"/>
      <c r="I35" s="7" t="inlineStr"/>
    </row>
    <row r="36" ht="20" customHeight="1">
      <c r="A36" s="7" t="inlineStr"/>
      <c r="B36" s="7" t="inlineStr"/>
      <c r="C36" s="7" t="inlineStr"/>
      <c r="D36" s="7" t="inlineStr"/>
      <c r="E36" s="7" t="inlineStr"/>
      <c r="F36" s="7" t="inlineStr"/>
      <c r="G36" s="7" t="inlineStr"/>
      <c r="H36" s="7" t="inlineStr"/>
      <c r="I36" s="7" t="inlineStr"/>
    </row>
    <row r="37" ht="20" customHeight="1">
      <c r="A37" s="7" t="inlineStr"/>
      <c r="B37" s="7" t="inlineStr"/>
      <c r="C37" s="7" t="inlineStr"/>
      <c r="D37" s="7" t="inlineStr"/>
      <c r="E37" s="7" t="inlineStr"/>
      <c r="F37" s="7" t="inlineStr"/>
      <c r="G37" s="7" t="inlineStr"/>
      <c r="H37" s="7" t="inlineStr"/>
      <c r="I37" s="7" t="inlineStr"/>
    </row>
  </sheetData>
  <mergeCells count="5">
    <mergeCell ref="A2:I2"/>
    <mergeCell ref="A28:I28"/>
    <mergeCell ref="A1:I1"/>
    <mergeCell ref="A27:I27"/>
    <mergeCell ref="A4:I4"/>
  </mergeCells>
  <conditionalFormatting sqref="F7:F25">
    <cfRule type="cellIs" priority="1" operator="equal" dxfId="2">
      <formula>"Yes — committed"</formula>
    </cfRule>
    <cfRule type="cellIs" priority="2" operator="equal" dxfId="3">
      <formula>"Pending"</formula>
    </cfRule>
    <cfRule type="cellIs" priority="3" operator="equal" dxfId="4">
      <formula>"Declined"</formula>
    </cfRule>
  </conditionalFormatting>
  <dataValidations count="1">
    <dataValidation sqref="F7:F25" showDropDown="0" showInputMessage="1" showErrorMessage="0" allowBlank="1" promptTitle="Agreement status" prompt="‘When there is no room for “no,” then “yes” is meaningless.’ Pending/Declined rows are open risks." type="list">
      <formula1>"Yes — committed,Pending,Declined"</formula1>
    </dataValidation>
  </dataValidations>
  <pageMargins left="0.75" right="0.75" top="1" bottom="1" header="0.5" footer="0.5"/>
</worksheet>
</file>

<file path=xl/worksheets/sheet5.xml><?xml version="1.0" encoding="utf-8"?>
<worksheet xmlns="http://schemas.openxmlformats.org/spreadsheetml/2006/main">
  <sheetPr>
    <tabColor rgb="000E7C66"/>
    <outlinePr summaryBelow="1" summaryRight="1"/>
    <pageSetUpPr/>
  </sheetPr>
  <dimension ref="A1:F48"/>
  <sheetViews>
    <sheetView showGridLines="0" zoomScale="100" workbookViewId="0">
      <selection activeCell="A1" sqref="A1"/>
    </sheetView>
  </sheetViews>
  <sheetFormatPr baseColWidth="8" defaultRowHeight="15"/>
  <cols>
    <col width="20" customWidth="1" min="1" max="1"/>
    <col width="30" customWidth="1" min="2" max="2"/>
    <col width="30" customWidth="1" min="3" max="3"/>
    <col width="26" customWidth="1" min="4" max="4"/>
    <col width="16" customWidth="1" min="5" max="5"/>
    <col width="24" customWidth="1" min="6" max="6"/>
  </cols>
  <sheetData>
    <row r="1" ht="40" customHeight="1">
      <c r="A1" s="43" t="inlineStr">
        <is>
          <t>🧭  Individual Accountabilities Documents</t>
        </is>
      </c>
      <c r="B1" s="44" t="n"/>
      <c r="C1" s="44" t="n"/>
      <c r="D1" s="44" t="n"/>
      <c r="E1" s="44" t="n"/>
      <c r="F1" s="44" t="n"/>
    </row>
    <row r="2" ht="22" customHeight="1">
      <c r="A2" s="45" t="inlineStr">
        <is>
          <t>One block per team member: the results they singularly own on this project. The written form of 'singular ownership of a result.'</t>
        </is>
      </c>
      <c r="B2" s="44" t="n"/>
      <c r="C2" s="44" t="n"/>
      <c r="D2" s="44" t="n"/>
      <c r="E2" s="44" t="n"/>
      <c r="F2" s="44" t="n"/>
    </row>
    <row r="4" ht="56" customHeight="1">
      <c r="A4" s="46" t="inlineStr">
        <is>
          <t>💡 HOW TO USE: Duplicate the block below for each team member (copy the whole block of rows). Write accountabilities as RESULTS ('Signed-off test plan', 'Production deployment live'), never activities ('help with testing'). The owner drafts their own block, then the team reviews it line-by-line — gaps and overlaps between blocks are risks: send them to the RAP.</t>
        </is>
      </c>
      <c r="B4" s="33" t="n"/>
      <c r="C4" s="33" t="n"/>
      <c r="D4" s="33" t="n"/>
      <c r="E4" s="33" t="n"/>
      <c r="F4" s="33" t="n"/>
    </row>
    <row r="6" ht="24" customHeight="1">
      <c r="A6" s="48" t="inlineStr">
        <is>
          <t>🧑  Team member 1</t>
        </is>
      </c>
      <c r="B6" s="44" t="n"/>
      <c r="C6" s="44" t="n"/>
      <c r="D6" s="44" t="n"/>
      <c r="E6" s="44" t="n"/>
      <c r="F6" s="44" t="n"/>
    </row>
    <row r="7" ht="20" customHeight="1">
      <c r="A7" s="49" t="inlineStr">
        <is>
          <t>Name</t>
        </is>
      </c>
      <c r="B7" s="35" t="inlineStr"/>
      <c r="C7" s="36" t="n"/>
      <c r="D7" s="36" t="n"/>
      <c r="E7" s="36" t="n"/>
      <c r="F7" s="36" t="n"/>
    </row>
    <row r="8" ht="20" customHeight="1">
      <c r="A8" s="49" t="inlineStr">
        <is>
          <t>Role on project</t>
        </is>
      </c>
      <c r="B8" s="35" t="inlineStr"/>
      <c r="C8" s="36" t="n"/>
      <c r="D8" s="36" t="n"/>
      <c r="E8" s="36" t="n"/>
      <c r="F8" s="36" t="n"/>
    </row>
    <row r="9" ht="30" customHeight="1">
      <c r="A9" s="47" t="inlineStr">
        <is>
          <t xml:space="preserve">Accountability # </t>
        </is>
      </c>
      <c r="B9" s="47" t="inlineStr">
        <is>
          <t>Result I singularly own (noun, verifiable)</t>
        </is>
      </c>
      <c r="C9" s="47" t="inlineStr">
        <is>
          <t>What 'done' means (agreed with team)</t>
        </is>
      </c>
      <c r="D9" s="47" t="inlineStr">
        <is>
          <t>Key dependencies / who I need</t>
        </is>
      </c>
      <c r="E9" s="47" t="inlineStr">
        <is>
          <t>Due (week of)</t>
        </is>
      </c>
      <c r="F9" s="47" t="inlineStr">
        <is>
          <t>Status / notes</t>
        </is>
      </c>
    </row>
    <row r="10" ht="22" customHeight="1">
      <c r="A10" s="37" t="n">
        <v>1</v>
      </c>
      <c r="B10" s="37" t="n"/>
      <c r="C10" s="37" t="n"/>
      <c r="D10" s="37" t="n"/>
      <c r="E10" s="37" t="n"/>
      <c r="F10" s="37" t="n"/>
    </row>
    <row r="11" ht="22" customHeight="1">
      <c r="A11" s="37" t="n">
        <v>2</v>
      </c>
      <c r="B11" s="37" t="n"/>
      <c r="C11" s="37" t="n"/>
      <c r="D11" s="37" t="n"/>
      <c r="E11" s="37" t="n"/>
      <c r="F11" s="37" t="n"/>
    </row>
    <row r="12" ht="22" customHeight="1">
      <c r="A12" s="37" t="n">
        <v>3</v>
      </c>
      <c r="B12" s="37" t="n"/>
      <c r="C12" s="37" t="n"/>
      <c r="D12" s="37" t="n"/>
      <c r="E12" s="37" t="n"/>
      <c r="F12" s="37" t="n"/>
    </row>
    <row r="13" ht="22" customHeight="1">
      <c r="A13" s="37" t="n">
        <v>4</v>
      </c>
      <c r="B13" s="37" t="n"/>
      <c r="C13" s="37" t="n"/>
      <c r="D13" s="37" t="n"/>
      <c r="E13" s="37" t="n"/>
      <c r="F13" s="37" t="n"/>
    </row>
    <row r="14" ht="20" customHeight="1">
      <c r="A14" s="50" t="inlineStr">
        <is>
          <t>I agree to own these results</t>
        </is>
      </c>
      <c r="B14" s="35" t="inlineStr"/>
      <c r="C14" s="36" t="n"/>
      <c r="D14" s="36" t="n"/>
      <c r="E14" s="36" t="n"/>
      <c r="F14" s="36" t="n"/>
    </row>
    <row r="15" ht="14" customHeight="1">
      <c r="A15" s="21" t="inlineStr">
        <is>
          <t>Signature/initials + date. This is an agreement, not an assignment.</t>
        </is>
      </c>
    </row>
    <row r="17" ht="24" customHeight="1">
      <c r="A17" s="48" t="inlineStr">
        <is>
          <t>🧑  Team member 2</t>
        </is>
      </c>
      <c r="B17" s="44" t="n"/>
      <c r="C17" s="44" t="n"/>
      <c r="D17" s="44" t="n"/>
      <c r="E17" s="44" t="n"/>
      <c r="F17" s="44" t="n"/>
    </row>
    <row r="18" ht="20" customHeight="1">
      <c r="A18" s="49" t="inlineStr">
        <is>
          <t>Name</t>
        </is>
      </c>
      <c r="B18" s="35" t="inlineStr"/>
      <c r="C18" s="36" t="n"/>
      <c r="D18" s="36" t="n"/>
      <c r="E18" s="36" t="n"/>
      <c r="F18" s="36" t="n"/>
    </row>
    <row r="19" ht="20" customHeight="1">
      <c r="A19" s="49" t="inlineStr">
        <is>
          <t>Role on project</t>
        </is>
      </c>
      <c r="B19" s="35" t="inlineStr"/>
      <c r="C19" s="36" t="n"/>
      <c r="D19" s="36" t="n"/>
      <c r="E19" s="36" t="n"/>
      <c r="F19" s="36" t="n"/>
    </row>
    <row r="20" ht="30" customHeight="1">
      <c r="A20" s="47" t="inlineStr">
        <is>
          <t xml:space="preserve">Accountability # </t>
        </is>
      </c>
      <c r="B20" s="47" t="inlineStr">
        <is>
          <t>Result I singularly own (noun, verifiable)</t>
        </is>
      </c>
      <c r="C20" s="47" t="inlineStr">
        <is>
          <t>What 'done' means (agreed with team)</t>
        </is>
      </c>
      <c r="D20" s="47" t="inlineStr">
        <is>
          <t>Key dependencies / who I need</t>
        </is>
      </c>
      <c r="E20" s="47" t="inlineStr">
        <is>
          <t>Due (week of)</t>
        </is>
      </c>
      <c r="F20" s="47" t="inlineStr">
        <is>
          <t>Status / notes</t>
        </is>
      </c>
    </row>
    <row r="21" ht="22" customHeight="1">
      <c r="A21" s="37" t="n">
        <v>1</v>
      </c>
      <c r="B21" s="37" t="n"/>
      <c r="C21" s="37" t="n"/>
      <c r="D21" s="37" t="n"/>
      <c r="E21" s="37" t="n"/>
      <c r="F21" s="37" t="n"/>
    </row>
    <row r="22" ht="22" customHeight="1">
      <c r="A22" s="37" t="n">
        <v>2</v>
      </c>
      <c r="B22" s="37" t="n"/>
      <c r="C22" s="37" t="n"/>
      <c r="D22" s="37" t="n"/>
      <c r="E22" s="37" t="n"/>
      <c r="F22" s="37" t="n"/>
    </row>
    <row r="23" ht="22" customHeight="1">
      <c r="A23" s="37" t="n">
        <v>3</v>
      </c>
      <c r="B23" s="37" t="n"/>
      <c r="C23" s="37" t="n"/>
      <c r="D23" s="37" t="n"/>
      <c r="E23" s="37" t="n"/>
      <c r="F23" s="37" t="n"/>
    </row>
    <row r="24" ht="22" customHeight="1">
      <c r="A24" s="37" t="n">
        <v>4</v>
      </c>
      <c r="B24" s="37" t="n"/>
      <c r="C24" s="37" t="n"/>
      <c r="D24" s="37" t="n"/>
      <c r="E24" s="37" t="n"/>
      <c r="F24" s="37" t="n"/>
    </row>
    <row r="25" ht="20" customHeight="1">
      <c r="A25" s="50" t="inlineStr">
        <is>
          <t>I agree to own these results</t>
        </is>
      </c>
      <c r="B25" s="35" t="inlineStr"/>
      <c r="C25" s="36" t="n"/>
      <c r="D25" s="36" t="n"/>
      <c r="E25" s="36" t="n"/>
      <c r="F25" s="36" t="n"/>
    </row>
    <row r="26" ht="14" customHeight="1">
      <c r="A26" s="21" t="inlineStr">
        <is>
          <t>Signature/initials + date. This is an agreement, not an assignment.</t>
        </is>
      </c>
    </row>
    <row r="28" ht="24" customHeight="1">
      <c r="A28" s="48" t="inlineStr">
        <is>
          <t>🧑  Team member 3</t>
        </is>
      </c>
      <c r="B28" s="44" t="n"/>
      <c r="C28" s="44" t="n"/>
      <c r="D28" s="44" t="n"/>
      <c r="E28" s="44" t="n"/>
      <c r="F28" s="44" t="n"/>
    </row>
    <row r="29" ht="20" customHeight="1">
      <c r="A29" s="49" t="inlineStr">
        <is>
          <t>Name</t>
        </is>
      </c>
      <c r="B29" s="35" t="inlineStr"/>
      <c r="C29" s="36" t="n"/>
      <c r="D29" s="36" t="n"/>
      <c r="E29" s="36" t="n"/>
      <c r="F29" s="36" t="n"/>
    </row>
    <row r="30" ht="20" customHeight="1">
      <c r="A30" s="49" t="inlineStr">
        <is>
          <t>Role on project</t>
        </is>
      </c>
      <c r="B30" s="35" t="inlineStr"/>
      <c r="C30" s="36" t="n"/>
      <c r="D30" s="36" t="n"/>
      <c r="E30" s="36" t="n"/>
      <c r="F30" s="36" t="n"/>
    </row>
    <row r="31" ht="30" customHeight="1">
      <c r="A31" s="47" t="inlineStr">
        <is>
          <t xml:space="preserve">Accountability # </t>
        </is>
      </c>
      <c r="B31" s="47" t="inlineStr">
        <is>
          <t>Result I singularly own (noun, verifiable)</t>
        </is>
      </c>
      <c r="C31" s="47" t="inlineStr">
        <is>
          <t>What 'done' means (agreed with team)</t>
        </is>
      </c>
      <c r="D31" s="47" t="inlineStr">
        <is>
          <t>Key dependencies / who I need</t>
        </is>
      </c>
      <c r="E31" s="47" t="inlineStr">
        <is>
          <t>Due (week of)</t>
        </is>
      </c>
      <c r="F31" s="47" t="inlineStr">
        <is>
          <t>Status / notes</t>
        </is>
      </c>
    </row>
    <row r="32" ht="22" customHeight="1">
      <c r="A32" s="37" t="n">
        <v>1</v>
      </c>
      <c r="B32" s="37" t="n"/>
      <c r="C32" s="37" t="n"/>
      <c r="D32" s="37" t="n"/>
      <c r="E32" s="37" t="n"/>
      <c r="F32" s="37" t="n"/>
    </row>
    <row r="33" ht="22" customHeight="1">
      <c r="A33" s="37" t="n">
        <v>2</v>
      </c>
      <c r="B33" s="37" t="n"/>
      <c r="C33" s="37" t="n"/>
      <c r="D33" s="37" t="n"/>
      <c r="E33" s="37" t="n"/>
      <c r="F33" s="37" t="n"/>
    </row>
    <row r="34" ht="22" customHeight="1">
      <c r="A34" s="37" t="n">
        <v>3</v>
      </c>
      <c r="B34" s="37" t="n"/>
      <c r="C34" s="37" t="n"/>
      <c r="D34" s="37" t="n"/>
      <c r="E34" s="37" t="n"/>
      <c r="F34" s="37" t="n"/>
    </row>
    <row r="35" ht="22" customHeight="1">
      <c r="A35" s="37" t="n">
        <v>4</v>
      </c>
      <c r="B35" s="37" t="n"/>
      <c r="C35" s="37" t="n"/>
      <c r="D35" s="37" t="n"/>
      <c r="E35" s="37" t="n"/>
      <c r="F35" s="37" t="n"/>
    </row>
    <row r="36" ht="20" customHeight="1">
      <c r="A36" s="50" t="inlineStr">
        <is>
          <t>I agree to own these results</t>
        </is>
      </c>
      <c r="B36" s="35" t="inlineStr"/>
      <c r="C36" s="36" t="n"/>
      <c r="D36" s="36" t="n"/>
      <c r="E36" s="36" t="n"/>
      <c r="F36" s="36" t="n"/>
    </row>
    <row r="37" ht="14" customHeight="1">
      <c r="A37" s="21" t="inlineStr">
        <is>
          <t>Signature/initials + date. This is an agreement, not an assignment.</t>
        </is>
      </c>
    </row>
    <row r="39" ht="24" customHeight="1">
      <c r="A39" s="48" t="inlineStr">
        <is>
          <t>🧑  Team member 4</t>
        </is>
      </c>
      <c r="B39" s="44" t="n"/>
      <c r="C39" s="44" t="n"/>
      <c r="D39" s="44" t="n"/>
      <c r="E39" s="44" t="n"/>
      <c r="F39" s="44" t="n"/>
    </row>
    <row r="40" ht="20" customHeight="1">
      <c r="A40" s="49" t="inlineStr">
        <is>
          <t>Name</t>
        </is>
      </c>
      <c r="B40" s="35" t="inlineStr"/>
      <c r="C40" s="36" t="n"/>
      <c r="D40" s="36" t="n"/>
      <c r="E40" s="36" t="n"/>
      <c r="F40" s="36" t="n"/>
    </row>
    <row r="41" ht="20" customHeight="1">
      <c r="A41" s="49" t="inlineStr">
        <is>
          <t>Role on project</t>
        </is>
      </c>
      <c r="B41" s="35" t="inlineStr"/>
      <c r="C41" s="36" t="n"/>
      <c r="D41" s="36" t="n"/>
      <c r="E41" s="36" t="n"/>
      <c r="F41" s="36" t="n"/>
    </row>
    <row r="42" ht="30" customHeight="1">
      <c r="A42" s="47" t="inlineStr">
        <is>
          <t xml:space="preserve">Accountability # </t>
        </is>
      </c>
      <c r="B42" s="47" t="inlineStr">
        <is>
          <t>Result I singularly own (noun, verifiable)</t>
        </is>
      </c>
      <c r="C42" s="47" t="inlineStr">
        <is>
          <t>What 'done' means (agreed with team)</t>
        </is>
      </c>
      <c r="D42" s="47" t="inlineStr">
        <is>
          <t>Key dependencies / who I need</t>
        </is>
      </c>
      <c r="E42" s="47" t="inlineStr">
        <is>
          <t>Due (week of)</t>
        </is>
      </c>
      <c r="F42" s="47" t="inlineStr">
        <is>
          <t>Status / notes</t>
        </is>
      </c>
    </row>
    <row r="43" ht="22" customHeight="1">
      <c r="A43" s="37" t="n">
        <v>1</v>
      </c>
      <c r="B43" s="37" t="n"/>
      <c r="C43" s="37" t="n"/>
      <c r="D43" s="37" t="n"/>
      <c r="E43" s="37" t="n"/>
      <c r="F43" s="37" t="n"/>
    </row>
    <row r="44" ht="22" customHeight="1">
      <c r="A44" s="37" t="n">
        <v>2</v>
      </c>
      <c r="B44" s="37" t="n"/>
      <c r="C44" s="37" t="n"/>
      <c r="D44" s="37" t="n"/>
      <c r="E44" s="37" t="n"/>
      <c r="F44" s="37" t="n"/>
    </row>
    <row r="45" ht="22" customHeight="1">
      <c r="A45" s="37" t="n">
        <v>3</v>
      </c>
      <c r="B45" s="37" t="n"/>
      <c r="C45" s="37" t="n"/>
      <c r="D45" s="37" t="n"/>
      <c r="E45" s="37" t="n"/>
      <c r="F45" s="37" t="n"/>
    </row>
    <row r="46" ht="22" customHeight="1">
      <c r="A46" s="37" t="n">
        <v>4</v>
      </c>
      <c r="B46" s="37" t="n"/>
      <c r="C46" s="37" t="n"/>
      <c r="D46" s="37" t="n"/>
      <c r="E46" s="37" t="n"/>
      <c r="F46" s="37" t="n"/>
    </row>
    <row r="47" ht="20" customHeight="1">
      <c r="A47" s="50" t="inlineStr">
        <is>
          <t>I agree to own these results</t>
        </is>
      </c>
      <c r="B47" s="35" t="inlineStr"/>
      <c r="C47" s="36" t="n"/>
      <c r="D47" s="36" t="n"/>
      <c r="E47" s="36" t="n"/>
      <c r="F47" s="36" t="n"/>
    </row>
    <row r="48" ht="14" customHeight="1">
      <c r="A48" s="21" t="inlineStr">
        <is>
          <t>Signature/initials + date. This is an agreement, not an assignment.</t>
        </is>
      </c>
    </row>
  </sheetData>
  <mergeCells count="23">
    <mergeCell ref="B7:F7"/>
    <mergeCell ref="B47:F47"/>
    <mergeCell ref="B25:F25"/>
    <mergeCell ref="A37:F37"/>
    <mergeCell ref="A26:F26"/>
    <mergeCell ref="B18:F18"/>
    <mergeCell ref="A2:F2"/>
    <mergeCell ref="A17:F17"/>
    <mergeCell ref="A4:F4"/>
    <mergeCell ref="B14:F14"/>
    <mergeCell ref="B8:F8"/>
    <mergeCell ref="B29:F29"/>
    <mergeCell ref="A28:F28"/>
    <mergeCell ref="B19:F19"/>
    <mergeCell ref="A48:F48"/>
    <mergeCell ref="A39:F39"/>
    <mergeCell ref="B40:F40"/>
    <mergeCell ref="A15:F15"/>
    <mergeCell ref="B30:F30"/>
    <mergeCell ref="A1:F1"/>
    <mergeCell ref="A6:F6"/>
    <mergeCell ref="B36:F36"/>
    <mergeCell ref="B41:F41"/>
  </mergeCells>
  <pageMargins left="0.75" right="0.75" top="1" bottom="1" header="0.5" footer="0.5"/>
</worksheet>
</file>

<file path=xl/worksheets/sheet6.xml><?xml version="1.0" encoding="utf-8"?>
<worksheet xmlns="http://schemas.openxmlformats.org/spreadsheetml/2006/main">
  <sheetPr>
    <tabColor rgb="00C0392B"/>
    <outlinePr summaryBelow="1" summaryRight="1"/>
    <pageSetUpPr/>
  </sheetPr>
  <dimension ref="A1:N40"/>
  <sheetViews>
    <sheetView showGridLines="0" zoomScale="100" workbookViewId="0">
      <pane ySplit="6" topLeftCell="A7" activePane="bottomLeft" state="frozen"/>
      <selection pane="bottomLeft" activeCell="A1" sqref="A1"/>
    </sheetView>
  </sheetViews>
  <sheetFormatPr baseColWidth="8" defaultRowHeight="15"/>
  <cols>
    <col width="8" customWidth="1" min="1" max="1"/>
    <col width="34" customWidth="1" min="2" max="2"/>
    <col width="30" customWidth="1" min="3" max="3"/>
    <col width="32" customWidth="1" min="4" max="4"/>
    <col width="10" customWidth="1" min="5" max="5"/>
    <col width="10" customWidth="1" min="6" max="6"/>
    <col width="12" customWidth="1" min="7" max="7"/>
    <col width="12" customWidth="1" min="8" max="8"/>
    <col width="16" customWidth="1" min="9" max="9"/>
    <col width="40" customWidth="1" min="10" max="10"/>
    <col width="16" customWidth="1" min="11" max="11"/>
    <col width="12" customWidth="1" min="12" max="12"/>
    <col width="14" customWidth="1" min="13" max="13"/>
    <col width="30" customWidth="1" min="14" max="14"/>
  </cols>
  <sheetData>
    <row r="1" ht="40" customHeight="1">
      <c r="A1" s="51" t="inlineStr">
        <is>
          <t>⚠️  Risk Action Plan (RAP)</t>
        </is>
      </c>
      <c r="B1" s="27" t="n"/>
      <c r="C1" s="27" t="n"/>
      <c r="D1" s="27" t="n"/>
      <c r="E1" s="27" t="n"/>
      <c r="F1" s="27" t="n"/>
      <c r="G1" s="27" t="n"/>
      <c r="H1" s="27" t="n"/>
      <c r="I1" s="27" t="n"/>
      <c r="J1" s="27" t="n"/>
      <c r="K1" s="27" t="n"/>
      <c r="L1" s="27" t="n"/>
      <c r="M1" s="27" t="n"/>
      <c r="N1" s="27" t="n"/>
    </row>
    <row r="2" ht="22" customHeight="1">
      <c r="A2" s="52" t="inlineStr">
        <is>
          <t>Every risk in Cause–Effect–Impact form, with one owner and dated mitigation actions. Reviewed at every WAM. A conversation tool, not a compliance archive.</t>
        </is>
      </c>
      <c r="B2" s="27" t="n"/>
      <c r="C2" s="27" t="n"/>
      <c r="D2" s="27" t="n"/>
      <c r="E2" s="27" t="n"/>
      <c r="F2" s="27" t="n"/>
      <c r="G2" s="27" t="n"/>
      <c r="H2" s="27" t="n"/>
      <c r="I2" s="27" t="n"/>
      <c r="J2" s="27" t="n"/>
      <c r="K2" s="27" t="n"/>
      <c r="L2" s="27" t="n"/>
      <c r="M2" s="27" t="n"/>
      <c r="N2" s="27" t="n"/>
    </row>
    <row r="4" ht="84" customHeight="1">
      <c r="A4" s="53" t="inlineStr">
        <is>
          <t>💡 HOW TO WRITE A RISK (CEI form): 'Because of [CAUSE — a fact, verifiably true today], [EFFECT — an uncertain future event] may occur, resulting in [IMPACT — consequence to schedule/cost/scope/quality].' If the effect has ALREADY happened it is not a risk — move it to the 🚧 Issues Log. Prioritize by exposure AND by NOVELTY: risks the team has never retired before deserve the most early urgency. Success in Definition looks like this list growing fast — a fat RAP means the blind spot is draining. Gate rule of thumb: don't commit the schedule until ~25–30% of early-identified risks are Retired.</t>
        </is>
      </c>
      <c r="B4" s="33" t="n"/>
      <c r="C4" s="33" t="n"/>
      <c r="D4" s="33" t="n"/>
      <c r="E4" s="33" t="n"/>
      <c r="F4" s="33" t="n"/>
      <c r="G4" s="33" t="n"/>
      <c r="H4" s="33" t="n"/>
      <c r="I4" s="33" t="n"/>
      <c r="J4" s="33" t="n"/>
      <c r="K4" s="33" t="n"/>
      <c r="L4" s="33" t="n"/>
      <c r="M4" s="33" t="n"/>
      <c r="N4" s="33" t="n"/>
    </row>
    <row r="6" ht="30" customHeight="1">
      <c r="A6" s="54" t="inlineStr">
        <is>
          <t>Risk ID</t>
        </is>
      </c>
      <c r="B6" s="54" t="inlineStr">
        <is>
          <t>CAUSE — Because of… (a fact, true today)</t>
        </is>
      </c>
      <c r="C6" s="54" t="inlineStr">
        <is>
          <t>EFFECT — …may occur (uncertain future event)</t>
        </is>
      </c>
      <c r="D6" s="54" t="inlineStr">
        <is>
          <t>IMPACT — …resulting in (consequence to the project)</t>
        </is>
      </c>
      <c r="E6" s="54" t="inlineStr">
        <is>
          <t>Prob.</t>
        </is>
      </c>
      <c r="F6" s="54" t="inlineStr">
        <is>
          <t>Impact</t>
        </is>
      </c>
      <c r="G6" s="54" t="inlineStr">
        <is>
          <t>Novelty to team</t>
        </is>
      </c>
      <c r="H6" s="54" t="inlineStr">
        <is>
          <t>Priority</t>
        </is>
      </c>
      <c r="I6" s="54" t="inlineStr">
        <is>
          <t>Accountable Owner (one name)</t>
        </is>
      </c>
      <c r="J6" s="54" t="inlineStr">
        <is>
          <t>Mitigation actions (each becomes a row on ✅ Actions)</t>
        </is>
      </c>
      <c r="K6" s="54" t="inlineStr">
        <is>
          <t>Next action due</t>
        </is>
      </c>
      <c r="L6" s="54" t="inlineStr">
        <is>
          <t>Status</t>
        </is>
      </c>
      <c r="M6" s="54" t="inlineStr">
        <is>
          <t>Date identified</t>
        </is>
      </c>
      <c r="N6" s="54" t="inlineStr">
        <is>
          <t>Notes / WAM discussion</t>
        </is>
      </c>
    </row>
    <row r="7" ht="48" customHeight="1">
      <c r="A7" s="7" t="inlineStr">
        <is>
          <t>R-001</t>
        </is>
      </c>
      <c r="B7" s="7" t="inlineStr">
        <is>
          <t>The vendor's API documentation is incomplete and their support SLA is 10 business days</t>
        </is>
      </c>
      <c r="C7" s="7" t="inlineStr">
        <is>
          <t>Integration defects may be discovered late in system test</t>
        </is>
      </c>
      <c r="D7" s="7" t="inlineStr">
        <is>
          <t>2–4 week slip to the committed release date and rework across two teams</t>
        </is>
      </c>
      <c r="E7" s="7" t="inlineStr">
        <is>
          <t>M</t>
        </is>
      </c>
      <c r="F7" s="7" t="inlineStr">
        <is>
          <t>H</t>
        </is>
      </c>
      <c r="G7" s="7" t="inlineStr">
        <is>
          <t>Novel</t>
        </is>
      </c>
      <c r="H7" s="7" t="inlineStr">
        <is>
          <t>P1</t>
        </is>
      </c>
      <c r="I7" s="7" t="inlineStr"/>
      <c r="J7" s="7" t="inlineStr">
        <is>
          <t>1) Build API test harness by wk 3 (owner: ___)  2) Escalation contact secured at vendor (owner: ___)</t>
        </is>
      </c>
      <c r="K7" s="7" t="inlineStr"/>
      <c r="L7" s="7" t="inlineStr">
        <is>
          <t>Open</t>
        </is>
      </c>
      <c r="M7" s="7" t="inlineStr"/>
      <c r="N7" s="7" t="inlineStr">
        <is>
          <t>EXAMPLE ROW — replace with your own. Note the cause is a verifiable fact.</t>
        </is>
      </c>
    </row>
    <row r="8" ht="30" customHeight="1">
      <c r="A8" s="37" t="n"/>
      <c r="B8" s="37" t="n"/>
      <c r="C8" s="37" t="n"/>
      <c r="D8" s="37" t="n"/>
      <c r="E8" s="37" t="n"/>
      <c r="F8" s="37" t="n"/>
      <c r="G8" s="37" t="n"/>
      <c r="H8" s="37" t="n"/>
      <c r="I8" s="37" t="n"/>
      <c r="J8" s="37" t="n"/>
      <c r="K8" s="37" t="n"/>
      <c r="L8" s="37" t="n"/>
      <c r="M8" s="37" t="n"/>
      <c r="N8" s="37" t="n"/>
    </row>
    <row r="9" ht="30" customHeight="1">
      <c r="A9" s="40" t="n"/>
      <c r="B9" s="40" t="n"/>
      <c r="C9" s="40" t="n"/>
      <c r="D9" s="40" t="n"/>
      <c r="E9" s="40" t="n"/>
      <c r="F9" s="40" t="n"/>
      <c r="G9" s="40" t="n"/>
      <c r="H9" s="40" t="n"/>
      <c r="I9" s="40" t="n"/>
      <c r="J9" s="40" t="n"/>
      <c r="K9" s="40" t="n"/>
      <c r="L9" s="40" t="n"/>
      <c r="M9" s="40" t="n"/>
      <c r="N9" s="40" t="n"/>
    </row>
    <row r="10" ht="30" customHeight="1">
      <c r="A10" s="37" t="n"/>
      <c r="B10" s="37" t="n"/>
      <c r="C10" s="37" t="n"/>
      <c r="D10" s="37" t="n"/>
      <c r="E10" s="37" t="n"/>
      <c r="F10" s="37" t="n"/>
      <c r="G10" s="37" t="n"/>
      <c r="H10" s="37" t="n"/>
      <c r="I10" s="37" t="n"/>
      <c r="J10" s="37" t="n"/>
      <c r="K10" s="37" t="n"/>
      <c r="L10" s="37" t="n"/>
      <c r="M10" s="37" t="n"/>
      <c r="N10" s="37" t="n"/>
    </row>
    <row r="11" ht="30" customHeight="1">
      <c r="A11" s="40" t="n"/>
      <c r="B11" s="40" t="n"/>
      <c r="C11" s="40" t="n"/>
      <c r="D11" s="40" t="n"/>
      <c r="E11" s="40" t="n"/>
      <c r="F11" s="40" t="n"/>
      <c r="G11" s="40" t="n"/>
      <c r="H11" s="40" t="n"/>
      <c r="I11" s="40" t="n"/>
      <c r="J11" s="40" t="n"/>
      <c r="K11" s="40" t="n"/>
      <c r="L11" s="40" t="n"/>
      <c r="M11" s="40" t="n"/>
      <c r="N11" s="40" t="n"/>
    </row>
    <row r="12" ht="30" customHeight="1">
      <c r="A12" s="37" t="n"/>
      <c r="B12" s="37" t="n"/>
      <c r="C12" s="37" t="n"/>
      <c r="D12" s="37" t="n"/>
      <c r="E12" s="37" t="n"/>
      <c r="F12" s="37" t="n"/>
      <c r="G12" s="37" t="n"/>
      <c r="H12" s="37" t="n"/>
      <c r="I12" s="37" t="n"/>
      <c r="J12" s="37" t="n"/>
      <c r="K12" s="37" t="n"/>
      <c r="L12" s="37" t="n"/>
      <c r="M12" s="37" t="n"/>
      <c r="N12" s="37" t="n"/>
    </row>
    <row r="13" ht="30" customHeight="1">
      <c r="A13" s="40" t="n"/>
      <c r="B13" s="40" t="n"/>
      <c r="C13" s="40" t="n"/>
      <c r="D13" s="40" t="n"/>
      <c r="E13" s="40" t="n"/>
      <c r="F13" s="40" t="n"/>
      <c r="G13" s="40" t="n"/>
      <c r="H13" s="40" t="n"/>
      <c r="I13" s="40" t="n"/>
      <c r="J13" s="40" t="n"/>
      <c r="K13" s="40" t="n"/>
      <c r="L13" s="40" t="n"/>
      <c r="M13" s="40" t="n"/>
      <c r="N13" s="40" t="n"/>
    </row>
    <row r="14" ht="30" customHeight="1">
      <c r="A14" s="37" t="n"/>
      <c r="B14" s="37" t="n"/>
      <c r="C14" s="37" t="n"/>
      <c r="D14" s="37" t="n"/>
      <c r="E14" s="37" t="n"/>
      <c r="F14" s="37" t="n"/>
      <c r="G14" s="37" t="n"/>
      <c r="H14" s="37" t="n"/>
      <c r="I14" s="37" t="n"/>
      <c r="J14" s="37" t="n"/>
      <c r="K14" s="37" t="n"/>
      <c r="L14" s="37" t="n"/>
      <c r="M14" s="37" t="n"/>
      <c r="N14" s="37" t="n"/>
    </row>
    <row r="15" ht="30" customHeight="1">
      <c r="A15" s="40" t="n"/>
      <c r="B15" s="40" t="n"/>
      <c r="C15" s="40" t="n"/>
      <c r="D15" s="40" t="n"/>
      <c r="E15" s="40" t="n"/>
      <c r="F15" s="40" t="n"/>
      <c r="G15" s="40" t="n"/>
      <c r="H15" s="40" t="n"/>
      <c r="I15" s="40" t="n"/>
      <c r="J15" s="40" t="n"/>
      <c r="K15" s="40" t="n"/>
      <c r="L15" s="40" t="n"/>
      <c r="M15" s="40" t="n"/>
      <c r="N15" s="40" t="n"/>
    </row>
    <row r="16" ht="30" customHeight="1">
      <c r="A16" s="37" t="n"/>
      <c r="B16" s="37" t="n"/>
      <c r="C16" s="37" t="n"/>
      <c r="D16" s="37" t="n"/>
      <c r="E16" s="37" t="n"/>
      <c r="F16" s="37" t="n"/>
      <c r="G16" s="37" t="n"/>
      <c r="H16" s="37" t="n"/>
      <c r="I16" s="37" t="n"/>
      <c r="J16" s="37" t="n"/>
      <c r="K16" s="37" t="n"/>
      <c r="L16" s="37" t="n"/>
      <c r="M16" s="37" t="n"/>
      <c r="N16" s="37" t="n"/>
    </row>
    <row r="17" ht="30" customHeight="1">
      <c r="A17" s="40" t="n"/>
      <c r="B17" s="40" t="n"/>
      <c r="C17" s="40" t="n"/>
      <c r="D17" s="40" t="n"/>
      <c r="E17" s="40" t="n"/>
      <c r="F17" s="40" t="n"/>
      <c r="G17" s="40" t="n"/>
      <c r="H17" s="40" t="n"/>
      <c r="I17" s="40" t="n"/>
      <c r="J17" s="40" t="n"/>
      <c r="K17" s="40" t="n"/>
      <c r="L17" s="40" t="n"/>
      <c r="M17" s="40" t="n"/>
      <c r="N17" s="40" t="n"/>
    </row>
    <row r="18" ht="30" customHeight="1">
      <c r="A18" s="37" t="n"/>
      <c r="B18" s="37" t="n"/>
      <c r="C18" s="37" t="n"/>
      <c r="D18" s="37" t="n"/>
      <c r="E18" s="37" t="n"/>
      <c r="F18" s="37" t="n"/>
      <c r="G18" s="37" t="n"/>
      <c r="H18" s="37" t="n"/>
      <c r="I18" s="37" t="n"/>
      <c r="J18" s="37" t="n"/>
      <c r="K18" s="37" t="n"/>
      <c r="L18" s="37" t="n"/>
      <c r="M18" s="37" t="n"/>
      <c r="N18" s="37" t="n"/>
    </row>
    <row r="19" ht="30" customHeight="1">
      <c r="A19" s="40" t="n"/>
      <c r="B19" s="40" t="n"/>
      <c r="C19" s="40" t="n"/>
      <c r="D19" s="40" t="n"/>
      <c r="E19" s="40" t="n"/>
      <c r="F19" s="40" t="n"/>
      <c r="G19" s="40" t="n"/>
      <c r="H19" s="40" t="n"/>
      <c r="I19" s="40" t="n"/>
      <c r="J19" s="40" t="n"/>
      <c r="K19" s="40" t="n"/>
      <c r="L19" s="40" t="n"/>
      <c r="M19" s="40" t="n"/>
      <c r="N19" s="40" t="n"/>
    </row>
    <row r="20" ht="30" customHeight="1">
      <c r="A20" s="37" t="n"/>
      <c r="B20" s="37" t="n"/>
      <c r="C20" s="37" t="n"/>
      <c r="D20" s="37" t="n"/>
      <c r="E20" s="37" t="n"/>
      <c r="F20" s="37" t="n"/>
      <c r="G20" s="37" t="n"/>
      <c r="H20" s="37" t="n"/>
      <c r="I20" s="37" t="n"/>
      <c r="J20" s="37" t="n"/>
      <c r="K20" s="37" t="n"/>
      <c r="L20" s="37" t="n"/>
      <c r="M20" s="37" t="n"/>
      <c r="N20" s="37" t="n"/>
    </row>
    <row r="21" ht="30" customHeight="1">
      <c r="A21" s="40" t="n"/>
      <c r="B21" s="40" t="n"/>
      <c r="C21" s="40" t="n"/>
      <c r="D21" s="40" t="n"/>
      <c r="E21" s="40" t="n"/>
      <c r="F21" s="40" t="n"/>
      <c r="G21" s="40" t="n"/>
      <c r="H21" s="40" t="n"/>
      <c r="I21" s="40" t="n"/>
      <c r="J21" s="40" t="n"/>
      <c r="K21" s="40" t="n"/>
      <c r="L21" s="40" t="n"/>
      <c r="M21" s="40" t="n"/>
      <c r="N21" s="40" t="n"/>
    </row>
    <row r="22" ht="30" customHeight="1">
      <c r="A22" s="37" t="n"/>
      <c r="B22" s="37" t="n"/>
      <c r="C22" s="37" t="n"/>
      <c r="D22" s="37" t="n"/>
      <c r="E22" s="37" t="n"/>
      <c r="F22" s="37" t="n"/>
      <c r="G22" s="37" t="n"/>
      <c r="H22" s="37" t="n"/>
      <c r="I22" s="37" t="n"/>
      <c r="J22" s="37" t="n"/>
      <c r="K22" s="37" t="n"/>
      <c r="L22" s="37" t="n"/>
      <c r="M22" s="37" t="n"/>
      <c r="N22" s="37" t="n"/>
    </row>
    <row r="23" ht="30" customHeight="1">
      <c r="A23" s="40" t="n"/>
      <c r="B23" s="40" t="n"/>
      <c r="C23" s="40" t="n"/>
      <c r="D23" s="40" t="n"/>
      <c r="E23" s="40" t="n"/>
      <c r="F23" s="40" t="n"/>
      <c r="G23" s="40" t="n"/>
      <c r="H23" s="40" t="n"/>
      <c r="I23" s="40" t="n"/>
      <c r="J23" s="40" t="n"/>
      <c r="K23" s="40" t="n"/>
      <c r="L23" s="40" t="n"/>
      <c r="M23" s="40" t="n"/>
      <c r="N23" s="40" t="n"/>
    </row>
    <row r="24" ht="30" customHeight="1">
      <c r="A24" s="37" t="n"/>
      <c r="B24" s="37" t="n"/>
      <c r="C24" s="37" t="n"/>
      <c r="D24" s="37" t="n"/>
      <c r="E24" s="37" t="n"/>
      <c r="F24" s="37" t="n"/>
      <c r="G24" s="37" t="n"/>
      <c r="H24" s="37" t="n"/>
      <c r="I24" s="37" t="n"/>
      <c r="J24" s="37" t="n"/>
      <c r="K24" s="37" t="n"/>
      <c r="L24" s="37" t="n"/>
      <c r="M24" s="37" t="n"/>
      <c r="N24" s="37" t="n"/>
    </row>
    <row r="25" ht="30" customHeight="1">
      <c r="A25" s="40" t="n"/>
      <c r="B25" s="40" t="n"/>
      <c r="C25" s="40" t="n"/>
      <c r="D25" s="40" t="n"/>
      <c r="E25" s="40" t="n"/>
      <c r="F25" s="40" t="n"/>
      <c r="G25" s="40" t="n"/>
      <c r="H25" s="40" t="n"/>
      <c r="I25" s="40" t="n"/>
      <c r="J25" s="40" t="n"/>
      <c r="K25" s="40" t="n"/>
      <c r="L25" s="40" t="n"/>
      <c r="M25" s="40" t="n"/>
      <c r="N25" s="40" t="n"/>
    </row>
    <row r="26" ht="30" customHeight="1">
      <c r="A26" s="37" t="n"/>
      <c r="B26" s="37" t="n"/>
      <c r="C26" s="37" t="n"/>
      <c r="D26" s="37" t="n"/>
      <c r="E26" s="37" t="n"/>
      <c r="F26" s="37" t="n"/>
      <c r="G26" s="37" t="n"/>
      <c r="H26" s="37" t="n"/>
      <c r="I26" s="37" t="n"/>
      <c r="J26" s="37" t="n"/>
      <c r="K26" s="37" t="n"/>
      <c r="L26" s="37" t="n"/>
      <c r="M26" s="37" t="n"/>
      <c r="N26" s="37" t="n"/>
    </row>
    <row r="27" ht="30" customHeight="1">
      <c r="A27" s="40" t="n"/>
      <c r="B27" s="40" t="n"/>
      <c r="C27" s="40" t="n"/>
      <c r="D27" s="40" t="n"/>
      <c r="E27" s="40" t="n"/>
      <c r="F27" s="40" t="n"/>
      <c r="G27" s="40" t="n"/>
      <c r="H27" s="40" t="n"/>
      <c r="I27" s="40" t="n"/>
      <c r="J27" s="40" t="n"/>
      <c r="K27" s="40" t="n"/>
      <c r="L27" s="40" t="n"/>
      <c r="M27" s="40" t="n"/>
      <c r="N27" s="40" t="n"/>
    </row>
    <row r="28" ht="30" customHeight="1">
      <c r="A28" s="37" t="n"/>
      <c r="B28" s="37" t="n"/>
      <c r="C28" s="37" t="n"/>
      <c r="D28" s="37" t="n"/>
      <c r="E28" s="37" t="n"/>
      <c r="F28" s="37" t="n"/>
      <c r="G28" s="37" t="n"/>
      <c r="H28" s="37" t="n"/>
      <c r="I28" s="37" t="n"/>
      <c r="J28" s="37" t="n"/>
      <c r="K28" s="37" t="n"/>
      <c r="L28" s="37" t="n"/>
      <c r="M28" s="37" t="n"/>
      <c r="N28" s="37" t="n"/>
    </row>
    <row r="29" ht="30" customHeight="1">
      <c r="A29" s="40" t="n"/>
      <c r="B29" s="40" t="n"/>
      <c r="C29" s="40" t="n"/>
      <c r="D29" s="40" t="n"/>
      <c r="E29" s="40" t="n"/>
      <c r="F29" s="40" t="n"/>
      <c r="G29" s="40" t="n"/>
      <c r="H29" s="40" t="n"/>
      <c r="I29" s="40" t="n"/>
      <c r="J29" s="40" t="n"/>
      <c r="K29" s="40" t="n"/>
      <c r="L29" s="40" t="n"/>
      <c r="M29" s="40" t="n"/>
      <c r="N29" s="40" t="n"/>
    </row>
    <row r="30" ht="30" customHeight="1">
      <c r="A30" s="37" t="n"/>
      <c r="B30" s="37" t="n"/>
      <c r="C30" s="37" t="n"/>
      <c r="D30" s="37" t="n"/>
      <c r="E30" s="37" t="n"/>
      <c r="F30" s="37" t="n"/>
      <c r="G30" s="37" t="n"/>
      <c r="H30" s="37" t="n"/>
      <c r="I30" s="37" t="n"/>
      <c r="J30" s="37" t="n"/>
      <c r="K30" s="37" t="n"/>
      <c r="L30" s="37" t="n"/>
      <c r="M30" s="37" t="n"/>
      <c r="N30" s="37" t="n"/>
    </row>
    <row r="31" ht="30" customHeight="1">
      <c r="A31" s="40" t="n"/>
      <c r="B31" s="40" t="n"/>
      <c r="C31" s="40" t="n"/>
      <c r="D31" s="40" t="n"/>
      <c r="E31" s="40" t="n"/>
      <c r="F31" s="40" t="n"/>
      <c r="G31" s="40" t="n"/>
      <c r="H31" s="40" t="n"/>
      <c r="I31" s="40" t="n"/>
      <c r="J31" s="40" t="n"/>
      <c r="K31" s="40" t="n"/>
      <c r="L31" s="40" t="n"/>
      <c r="M31" s="40" t="n"/>
      <c r="N31" s="40" t="n"/>
    </row>
    <row r="32" ht="30" customHeight="1">
      <c r="A32" s="37" t="n"/>
      <c r="B32" s="37" t="n"/>
      <c r="C32" s="37" t="n"/>
      <c r="D32" s="37" t="n"/>
      <c r="E32" s="37" t="n"/>
      <c r="F32" s="37" t="n"/>
      <c r="G32" s="37" t="n"/>
      <c r="H32" s="37" t="n"/>
      <c r="I32" s="37" t="n"/>
      <c r="J32" s="37" t="n"/>
      <c r="K32" s="37" t="n"/>
      <c r="L32" s="37" t="n"/>
      <c r="M32" s="37" t="n"/>
      <c r="N32" s="37" t="n"/>
    </row>
    <row r="33" ht="30" customHeight="1">
      <c r="A33" s="40" t="n"/>
      <c r="B33" s="40" t="n"/>
      <c r="C33" s="40" t="n"/>
      <c r="D33" s="40" t="n"/>
      <c r="E33" s="40" t="n"/>
      <c r="F33" s="40" t="n"/>
      <c r="G33" s="40" t="n"/>
      <c r="H33" s="40" t="n"/>
      <c r="I33" s="40" t="n"/>
      <c r="J33" s="40" t="n"/>
      <c r="K33" s="40" t="n"/>
      <c r="L33" s="40" t="n"/>
      <c r="M33" s="40" t="n"/>
      <c r="N33" s="40" t="n"/>
    </row>
    <row r="34" ht="30" customHeight="1">
      <c r="A34" s="37" t="n"/>
      <c r="B34" s="37" t="n"/>
      <c r="C34" s="37" t="n"/>
      <c r="D34" s="37" t="n"/>
      <c r="E34" s="37" t="n"/>
      <c r="F34" s="37" t="n"/>
      <c r="G34" s="37" t="n"/>
      <c r="H34" s="37" t="n"/>
      <c r="I34" s="37" t="n"/>
      <c r="J34" s="37" t="n"/>
      <c r="K34" s="37" t="n"/>
      <c r="L34" s="37" t="n"/>
      <c r="M34" s="37" t="n"/>
      <c r="N34" s="37" t="n"/>
    </row>
    <row r="35" ht="30" customHeight="1">
      <c r="A35" s="40" t="n"/>
      <c r="B35" s="40" t="n"/>
      <c r="C35" s="40" t="n"/>
      <c r="D35" s="40" t="n"/>
      <c r="E35" s="40" t="n"/>
      <c r="F35" s="40" t="n"/>
      <c r="G35" s="40" t="n"/>
      <c r="H35" s="40" t="n"/>
      <c r="I35" s="40" t="n"/>
      <c r="J35" s="40" t="n"/>
      <c r="K35" s="40" t="n"/>
      <c r="L35" s="40" t="n"/>
      <c r="M35" s="40" t="n"/>
      <c r="N35" s="40" t="n"/>
    </row>
    <row r="36" ht="30" customHeight="1">
      <c r="A36" s="37" t="n"/>
      <c r="B36" s="37" t="n"/>
      <c r="C36" s="37" t="n"/>
      <c r="D36" s="37" t="n"/>
      <c r="E36" s="37" t="n"/>
      <c r="F36" s="37" t="n"/>
      <c r="G36" s="37" t="n"/>
      <c r="H36" s="37" t="n"/>
      <c r="I36" s="37" t="n"/>
      <c r="J36" s="37" t="n"/>
      <c r="K36" s="37" t="n"/>
      <c r="L36" s="37" t="n"/>
      <c r="M36" s="37" t="n"/>
      <c r="N36" s="37" t="n"/>
    </row>
    <row r="37" ht="30" customHeight="1">
      <c r="A37" s="40" t="n"/>
      <c r="B37" s="40" t="n"/>
      <c r="C37" s="40" t="n"/>
      <c r="D37" s="40" t="n"/>
      <c r="E37" s="40" t="n"/>
      <c r="F37" s="40" t="n"/>
      <c r="G37" s="40" t="n"/>
      <c r="H37" s="40" t="n"/>
      <c r="I37" s="40" t="n"/>
      <c r="J37" s="40" t="n"/>
      <c r="K37" s="40" t="n"/>
      <c r="L37" s="40" t="n"/>
      <c r="M37" s="40" t="n"/>
      <c r="N37" s="40" t="n"/>
    </row>
    <row r="39" ht="24" customHeight="1">
      <c r="A39" s="26" t="inlineStr">
        <is>
          <t>🎤  The standing question — ask it every week</t>
        </is>
      </c>
      <c r="B39" s="27" t="n"/>
      <c r="C39" s="27" t="n"/>
      <c r="D39" s="27" t="n"/>
      <c r="E39" s="27" t="n"/>
      <c r="F39" s="27" t="n"/>
      <c r="G39" s="27" t="n"/>
      <c r="H39" s="27" t="n"/>
      <c r="I39" s="27" t="n"/>
      <c r="J39" s="27" t="n"/>
      <c r="K39" s="27" t="n"/>
      <c r="L39" s="27" t="n"/>
      <c r="M39" s="27" t="n"/>
      <c r="N39" s="27" t="n"/>
    </row>
    <row r="40" ht="28" customHeight="1">
      <c r="A40" s="53" t="inlineStr">
        <is>
          <t>💡 “What is the most likely reason this project will fail?” Ask it at every WAM. Whatever the answer is, it belongs on this sheet in CEI form with an owner.</t>
        </is>
      </c>
      <c r="B40" s="33" t="n"/>
      <c r="C40" s="33" t="n"/>
      <c r="D40" s="33" t="n"/>
      <c r="E40" s="33" t="n"/>
      <c r="F40" s="33" t="n"/>
      <c r="G40" s="33" t="n"/>
      <c r="H40" s="33" t="n"/>
      <c r="I40" s="33" t="n"/>
      <c r="J40" s="33" t="n"/>
      <c r="K40" s="33" t="n"/>
      <c r="L40" s="33" t="n"/>
      <c r="M40" s="33" t="n"/>
      <c r="N40" s="33" t="n"/>
    </row>
  </sheetData>
  <mergeCells count="5">
    <mergeCell ref="A40:N40"/>
    <mergeCell ref="A39:N39"/>
    <mergeCell ref="A4:N4"/>
    <mergeCell ref="A2:N2"/>
    <mergeCell ref="A1:N1"/>
  </mergeCells>
  <conditionalFormatting sqref="L7:L37">
    <cfRule type="cellIs" priority="1" operator="equal" dxfId="4">
      <formula>"Open"</formula>
    </cfRule>
    <cfRule type="cellIs" priority="2" operator="equal" dxfId="3">
      <formula>"Mitigating"</formula>
    </cfRule>
    <cfRule type="cellIs" priority="3" operator="equal" dxfId="2">
      <formula>"Retired"</formula>
    </cfRule>
    <cfRule type="cellIs" priority="4" operator="equal" dxfId="5">
      <formula>"Accepted"</formula>
    </cfRule>
    <cfRule type="cellIs" priority="5" operator="equal" dxfId="6">
      <formula>"Became issue"</formula>
    </cfRule>
  </conditionalFormatting>
  <conditionalFormatting sqref="H7:H37">
    <cfRule type="cellIs" priority="6" operator="equal" dxfId="6">
      <formula>"P1"</formula>
    </cfRule>
    <cfRule type="cellIs" priority="7" operator="equal" dxfId="1">
      <formula>"P2"</formula>
    </cfRule>
    <cfRule type="cellIs" priority="8" operator="equal" dxfId="7">
      <formula>"P3"</formula>
    </cfRule>
  </conditionalFormatting>
  <conditionalFormatting sqref="G7:G37">
    <cfRule type="cellIs" priority="9" operator="equal" dxfId="6">
      <formula>"Novel"</formula>
    </cfRule>
    <cfRule type="cellIs" priority="10" operator="equal" dxfId="5">
      <formula>"Familiar"</formula>
    </cfRule>
  </conditionalFormatting>
  <dataValidations count="4">
    <dataValidation sqref="E7:F37" showDropDown="0" showInputMessage="0" showErrorMessage="0" allowBlank="1" promptTitle="L/M/H" type="list">
      <formula1>"L,M,H"</formula1>
    </dataValidation>
    <dataValidation sqref="G7:G37" showDropDown="0" showInputMessage="1" showErrorMessage="0" allowBlank="1" promptTitle="Novelty" prompt="Has this team retired a risk like this before? Novel risks get the team's scarce early urgency." type="list">
      <formula1>"Novel,Familiar"</formula1>
    </dataValidation>
    <dataValidation sqref="H7:H37" showDropDown="0" showInputMessage="0" showErrorMessage="0" allowBlank="1" promptTitle="Priority" type="list">
      <formula1>"P1,P2,P3"</formula1>
    </dataValidation>
    <dataValidation sqref="L7:L37" showDropDown="0" showInputMessage="1" showErrorMessage="0" allowBlank="1" promptTitle="Risk status" prompt="Retired = mitigated to closure. Accepted = consciously living with it. Became issue = it happened; move to Issues Log." type="list">
      <formula1>"Open,Mitigating,Retired,Accepted,Became issue"</formula1>
    </dataValidation>
  </dataValidations>
  <pageMargins left="0.75" right="0.75" top="1" bottom="1" header="0.5" footer="0.5"/>
</worksheet>
</file>

<file path=xl/worksheets/sheet7.xml><?xml version="1.0" encoding="utf-8"?>
<worksheet xmlns="http://schemas.openxmlformats.org/spreadsheetml/2006/main">
  <sheetPr>
    <tabColor rgb="00B25309"/>
    <outlinePr summaryBelow="1" summaryRight="1"/>
    <pageSetUpPr/>
  </sheetPr>
  <dimension ref="A1:J40"/>
  <sheetViews>
    <sheetView showGridLines="0" zoomScale="100" workbookViewId="0">
      <pane ySplit="6" topLeftCell="A7" activePane="bottomLeft" state="frozen"/>
      <selection pane="bottomLeft" activeCell="A1" sqref="A1"/>
    </sheetView>
  </sheetViews>
  <sheetFormatPr baseColWidth="8" defaultRowHeight="15"/>
  <cols>
    <col width="10" customWidth="1" min="1" max="1"/>
    <col width="44" customWidth="1" min="2" max="2"/>
    <col width="14" customWidth="1" min="3" max="3"/>
    <col width="18" customWidth="1" min="4" max="4"/>
    <col width="14" customWidth="1" min="5" max="5"/>
    <col width="14" customWidth="1" min="6" max="6"/>
    <col width="12" customWidth="1" min="7" max="7"/>
    <col width="14" customWidth="1" min="8" max="8"/>
    <col width="30" customWidth="1" min="9" max="9"/>
    <col width="14" customWidth="1" min="10" max="10"/>
  </cols>
  <sheetData>
    <row r="1" ht="40" customHeight="1">
      <c r="A1" s="55" t="inlineStr">
        <is>
          <t>✅  Action Tracker</t>
        </is>
      </c>
      <c r="B1" s="56" t="n"/>
      <c r="C1" s="56" t="n"/>
      <c r="D1" s="56" t="n"/>
      <c r="E1" s="56" t="n"/>
      <c r="F1" s="56" t="n"/>
      <c r="G1" s="56" t="n"/>
      <c r="H1" s="56" t="n"/>
      <c r="I1" s="56" t="n"/>
      <c r="J1" s="56" t="n"/>
    </row>
    <row r="2" ht="22" customHeight="1">
      <c r="A2" s="57" t="inlineStr">
        <is>
          <t>Every owned, dated task — risk mitigations, WAM cleanups, decision follow-ups. One owner per action. Always.</t>
        </is>
      </c>
      <c r="B2" s="56" t="n"/>
      <c r="C2" s="56" t="n"/>
      <c r="D2" s="56" t="n"/>
      <c r="E2" s="56" t="n"/>
      <c r="F2" s="56" t="n"/>
      <c r="G2" s="56" t="n"/>
      <c r="H2" s="56" t="n"/>
      <c r="I2" s="56" t="n"/>
      <c r="J2" s="56" t="n"/>
    </row>
    <row r="4" ht="42" customHeight="1">
      <c r="A4" s="58" t="inlineStr">
        <is>
          <t>💡 HOW TO USE: Actions are the unit of motion in RUF. Each mitigation listed on the ⚠️ RAP gets its own row here (Source = risk ID). An action has ONE owner (a name that agreed), a committed date, and a binary done/not-done outcome. If an action's date is at risk, the owner cleans it up BEFORE the date — that's integrity.</t>
        </is>
      </c>
      <c r="B4" s="33" t="n"/>
      <c r="C4" s="33" t="n"/>
      <c r="D4" s="33" t="n"/>
      <c r="E4" s="33" t="n"/>
      <c r="F4" s="33" t="n"/>
      <c r="G4" s="33" t="n"/>
      <c r="H4" s="33" t="n"/>
      <c r="I4" s="33" t="n"/>
      <c r="J4" s="33" t="n"/>
    </row>
    <row r="6" ht="30" customHeight="1">
      <c r="A6" s="59" t="inlineStr">
        <is>
          <t>Action ID</t>
        </is>
      </c>
      <c r="B6" s="59" t="inlineStr">
        <is>
          <t>Action (verb — concrete and verifiable)</t>
        </is>
      </c>
      <c r="C6" s="59" t="inlineStr">
        <is>
          <t>Source (Risk/Issue/Decision/WAM ID)</t>
        </is>
      </c>
      <c r="D6" s="59" t="inlineStr">
        <is>
          <t>Accountable Owner</t>
        </is>
      </c>
      <c r="E6" s="59" t="inlineStr">
        <is>
          <t>Committed date</t>
        </is>
      </c>
      <c r="F6" s="59" t="inlineStr">
        <is>
          <t>Status</t>
        </is>
      </c>
      <c r="G6" s="59" t="inlineStr">
        <is>
          <t>Done date</t>
        </is>
      </c>
      <c r="H6" s="59" t="inlineStr">
        <is>
          <t>Kept commitment?</t>
        </is>
      </c>
      <c r="I6" s="59" t="inlineStr">
        <is>
          <t>Cleanup notes (if renegotiated)</t>
        </is>
      </c>
      <c r="J6" s="59" t="inlineStr">
        <is>
          <t>Week (for WAM)</t>
        </is>
      </c>
    </row>
    <row r="7" ht="22" customHeight="1">
      <c r="A7" s="37" t="n"/>
      <c r="B7" s="37" t="n"/>
      <c r="C7" s="37" t="n"/>
      <c r="D7" s="37" t="n"/>
      <c r="E7" s="37" t="n"/>
      <c r="F7" s="37" t="n"/>
      <c r="G7" s="37" t="n"/>
      <c r="H7" s="37" t="n"/>
      <c r="I7" s="37" t="n"/>
      <c r="J7" s="37" t="n"/>
    </row>
    <row r="8" ht="22" customHeight="1">
      <c r="A8" s="40" t="n"/>
      <c r="B8" s="40" t="n"/>
      <c r="C8" s="40" t="n"/>
      <c r="D8" s="40" t="n"/>
      <c r="E8" s="40" t="n"/>
      <c r="F8" s="40" t="n"/>
      <c r="G8" s="40" t="n"/>
      <c r="H8" s="40" t="n"/>
      <c r="I8" s="40" t="n"/>
      <c r="J8" s="40" t="n"/>
    </row>
    <row r="9" ht="22" customHeight="1">
      <c r="A9" s="37" t="n"/>
      <c r="B9" s="37" t="n"/>
      <c r="C9" s="37" t="n"/>
      <c r="D9" s="37" t="n"/>
      <c r="E9" s="37" t="n"/>
      <c r="F9" s="37" t="n"/>
      <c r="G9" s="37" t="n"/>
      <c r="H9" s="37" t="n"/>
      <c r="I9" s="37" t="n"/>
      <c r="J9" s="37" t="n"/>
    </row>
    <row r="10" ht="22" customHeight="1">
      <c r="A10" s="40" t="n"/>
      <c r="B10" s="40" t="n"/>
      <c r="C10" s="40" t="n"/>
      <c r="D10" s="40" t="n"/>
      <c r="E10" s="40" t="n"/>
      <c r="F10" s="40" t="n"/>
      <c r="G10" s="40" t="n"/>
      <c r="H10" s="40" t="n"/>
      <c r="I10" s="40" t="n"/>
      <c r="J10" s="40" t="n"/>
    </row>
    <row r="11" ht="22" customHeight="1">
      <c r="A11" s="37" t="n"/>
      <c r="B11" s="37" t="n"/>
      <c r="C11" s="37" t="n"/>
      <c r="D11" s="37" t="n"/>
      <c r="E11" s="37" t="n"/>
      <c r="F11" s="37" t="n"/>
      <c r="G11" s="37" t="n"/>
      <c r="H11" s="37" t="n"/>
      <c r="I11" s="37" t="n"/>
      <c r="J11" s="37" t="n"/>
    </row>
    <row r="12" ht="22" customHeight="1">
      <c r="A12" s="40" t="n"/>
      <c r="B12" s="40" t="n"/>
      <c r="C12" s="40" t="n"/>
      <c r="D12" s="40" t="n"/>
      <c r="E12" s="40" t="n"/>
      <c r="F12" s="40" t="n"/>
      <c r="G12" s="40" t="n"/>
      <c r="H12" s="40" t="n"/>
      <c r="I12" s="40" t="n"/>
      <c r="J12" s="40" t="n"/>
    </row>
    <row r="13" ht="22" customHeight="1">
      <c r="A13" s="37" t="n"/>
      <c r="B13" s="37" t="n"/>
      <c r="C13" s="37" t="n"/>
      <c r="D13" s="37" t="n"/>
      <c r="E13" s="37" t="n"/>
      <c r="F13" s="37" t="n"/>
      <c r="G13" s="37" t="n"/>
      <c r="H13" s="37" t="n"/>
      <c r="I13" s="37" t="n"/>
      <c r="J13" s="37" t="n"/>
    </row>
    <row r="14" ht="22" customHeight="1">
      <c r="A14" s="40" t="n"/>
      <c r="B14" s="40" t="n"/>
      <c r="C14" s="40" t="n"/>
      <c r="D14" s="40" t="n"/>
      <c r="E14" s="40" t="n"/>
      <c r="F14" s="40" t="n"/>
      <c r="G14" s="40" t="n"/>
      <c r="H14" s="40" t="n"/>
      <c r="I14" s="40" t="n"/>
      <c r="J14" s="40" t="n"/>
    </row>
    <row r="15" ht="22" customHeight="1">
      <c r="A15" s="37" t="n"/>
      <c r="B15" s="37" t="n"/>
      <c r="C15" s="37" t="n"/>
      <c r="D15" s="37" t="n"/>
      <c r="E15" s="37" t="n"/>
      <c r="F15" s="37" t="n"/>
      <c r="G15" s="37" t="n"/>
      <c r="H15" s="37" t="n"/>
      <c r="I15" s="37" t="n"/>
      <c r="J15" s="37" t="n"/>
    </row>
    <row r="16" ht="22" customHeight="1">
      <c r="A16" s="40" t="n"/>
      <c r="B16" s="40" t="n"/>
      <c r="C16" s="40" t="n"/>
      <c r="D16" s="40" t="n"/>
      <c r="E16" s="40" t="n"/>
      <c r="F16" s="40" t="n"/>
      <c r="G16" s="40" t="n"/>
      <c r="H16" s="40" t="n"/>
      <c r="I16" s="40" t="n"/>
      <c r="J16" s="40" t="n"/>
    </row>
    <row r="17" ht="22" customHeight="1">
      <c r="A17" s="37" t="n"/>
      <c r="B17" s="37" t="n"/>
      <c r="C17" s="37" t="n"/>
      <c r="D17" s="37" t="n"/>
      <c r="E17" s="37" t="n"/>
      <c r="F17" s="37" t="n"/>
      <c r="G17" s="37" t="n"/>
      <c r="H17" s="37" t="n"/>
      <c r="I17" s="37" t="n"/>
      <c r="J17" s="37" t="n"/>
    </row>
    <row r="18" ht="22" customHeight="1">
      <c r="A18" s="40" t="n"/>
      <c r="B18" s="40" t="n"/>
      <c r="C18" s="40" t="n"/>
      <c r="D18" s="40" t="n"/>
      <c r="E18" s="40" t="n"/>
      <c r="F18" s="40" t="n"/>
      <c r="G18" s="40" t="n"/>
      <c r="H18" s="40" t="n"/>
      <c r="I18" s="40" t="n"/>
      <c r="J18" s="40" t="n"/>
    </row>
    <row r="19" ht="22" customHeight="1">
      <c r="A19" s="37" t="n"/>
      <c r="B19" s="37" t="n"/>
      <c r="C19" s="37" t="n"/>
      <c r="D19" s="37" t="n"/>
      <c r="E19" s="37" t="n"/>
      <c r="F19" s="37" t="n"/>
      <c r="G19" s="37" t="n"/>
      <c r="H19" s="37" t="n"/>
      <c r="I19" s="37" t="n"/>
      <c r="J19" s="37" t="n"/>
    </row>
    <row r="20" ht="22" customHeight="1">
      <c r="A20" s="40" t="n"/>
      <c r="B20" s="40" t="n"/>
      <c r="C20" s="40" t="n"/>
      <c r="D20" s="40" t="n"/>
      <c r="E20" s="40" t="n"/>
      <c r="F20" s="40" t="n"/>
      <c r="G20" s="40" t="n"/>
      <c r="H20" s="40" t="n"/>
      <c r="I20" s="40" t="n"/>
      <c r="J20" s="40" t="n"/>
    </row>
    <row r="21" ht="22" customHeight="1">
      <c r="A21" s="37" t="n"/>
      <c r="B21" s="37" t="n"/>
      <c r="C21" s="37" t="n"/>
      <c r="D21" s="37" t="n"/>
      <c r="E21" s="37" t="n"/>
      <c r="F21" s="37" t="n"/>
      <c r="G21" s="37" t="n"/>
      <c r="H21" s="37" t="n"/>
      <c r="I21" s="37" t="n"/>
      <c r="J21" s="37" t="n"/>
    </row>
    <row r="22" ht="22" customHeight="1">
      <c r="A22" s="40" t="n"/>
      <c r="B22" s="40" t="n"/>
      <c r="C22" s="40" t="n"/>
      <c r="D22" s="40" t="n"/>
      <c r="E22" s="40" t="n"/>
      <c r="F22" s="40" t="n"/>
      <c r="G22" s="40" t="n"/>
      <c r="H22" s="40" t="n"/>
      <c r="I22" s="40" t="n"/>
      <c r="J22" s="40" t="n"/>
    </row>
    <row r="23" ht="22" customHeight="1">
      <c r="A23" s="37" t="n"/>
      <c r="B23" s="37" t="n"/>
      <c r="C23" s="37" t="n"/>
      <c r="D23" s="37" t="n"/>
      <c r="E23" s="37" t="n"/>
      <c r="F23" s="37" t="n"/>
      <c r="G23" s="37" t="n"/>
      <c r="H23" s="37" t="n"/>
      <c r="I23" s="37" t="n"/>
      <c r="J23" s="37" t="n"/>
    </row>
    <row r="24" ht="22" customHeight="1">
      <c r="A24" s="40" t="n"/>
      <c r="B24" s="40" t="n"/>
      <c r="C24" s="40" t="n"/>
      <c r="D24" s="40" t="n"/>
      <c r="E24" s="40" t="n"/>
      <c r="F24" s="40" t="n"/>
      <c r="G24" s="40" t="n"/>
      <c r="H24" s="40" t="n"/>
      <c r="I24" s="40" t="n"/>
      <c r="J24" s="40" t="n"/>
    </row>
    <row r="25" ht="22" customHeight="1">
      <c r="A25" s="37" t="n"/>
      <c r="B25" s="37" t="n"/>
      <c r="C25" s="37" t="n"/>
      <c r="D25" s="37" t="n"/>
      <c r="E25" s="37" t="n"/>
      <c r="F25" s="37" t="n"/>
      <c r="G25" s="37" t="n"/>
      <c r="H25" s="37" t="n"/>
      <c r="I25" s="37" t="n"/>
      <c r="J25" s="37" t="n"/>
    </row>
    <row r="26" ht="22" customHeight="1">
      <c r="A26" s="40" t="n"/>
      <c r="B26" s="40" t="n"/>
      <c r="C26" s="40" t="n"/>
      <c r="D26" s="40" t="n"/>
      <c r="E26" s="40" t="n"/>
      <c r="F26" s="40" t="n"/>
      <c r="G26" s="40" t="n"/>
      <c r="H26" s="40" t="n"/>
      <c r="I26" s="40" t="n"/>
      <c r="J26" s="40" t="n"/>
    </row>
    <row r="27" ht="22" customHeight="1">
      <c r="A27" s="37" t="n"/>
      <c r="B27" s="37" t="n"/>
      <c r="C27" s="37" t="n"/>
      <c r="D27" s="37" t="n"/>
      <c r="E27" s="37" t="n"/>
      <c r="F27" s="37" t="n"/>
      <c r="G27" s="37" t="n"/>
      <c r="H27" s="37" t="n"/>
      <c r="I27" s="37" t="n"/>
      <c r="J27" s="37" t="n"/>
    </row>
    <row r="28" ht="22" customHeight="1">
      <c r="A28" s="40" t="n"/>
      <c r="B28" s="40" t="n"/>
      <c r="C28" s="40" t="n"/>
      <c r="D28" s="40" t="n"/>
      <c r="E28" s="40" t="n"/>
      <c r="F28" s="40" t="n"/>
      <c r="G28" s="40" t="n"/>
      <c r="H28" s="40" t="n"/>
      <c r="I28" s="40" t="n"/>
      <c r="J28" s="40" t="n"/>
    </row>
    <row r="29" ht="22" customHeight="1">
      <c r="A29" s="37" t="n"/>
      <c r="B29" s="37" t="n"/>
      <c r="C29" s="37" t="n"/>
      <c r="D29" s="37" t="n"/>
      <c r="E29" s="37" t="n"/>
      <c r="F29" s="37" t="n"/>
      <c r="G29" s="37" t="n"/>
      <c r="H29" s="37" t="n"/>
      <c r="I29" s="37" t="n"/>
      <c r="J29" s="37" t="n"/>
    </row>
    <row r="30" ht="22" customHeight="1">
      <c r="A30" s="40" t="n"/>
      <c r="B30" s="40" t="n"/>
      <c r="C30" s="40" t="n"/>
      <c r="D30" s="40" t="n"/>
      <c r="E30" s="40" t="n"/>
      <c r="F30" s="40" t="n"/>
      <c r="G30" s="40" t="n"/>
      <c r="H30" s="40" t="n"/>
      <c r="I30" s="40" t="n"/>
      <c r="J30" s="40" t="n"/>
    </row>
    <row r="31" ht="22" customHeight="1">
      <c r="A31" s="37" t="n"/>
      <c r="B31" s="37" t="n"/>
      <c r="C31" s="37" t="n"/>
      <c r="D31" s="37" t="n"/>
      <c r="E31" s="37" t="n"/>
      <c r="F31" s="37" t="n"/>
      <c r="G31" s="37" t="n"/>
      <c r="H31" s="37" t="n"/>
      <c r="I31" s="37" t="n"/>
      <c r="J31" s="37" t="n"/>
    </row>
    <row r="32" ht="22" customHeight="1">
      <c r="A32" s="40" t="n"/>
      <c r="B32" s="40" t="n"/>
      <c r="C32" s="40" t="n"/>
      <c r="D32" s="40" t="n"/>
      <c r="E32" s="40" t="n"/>
      <c r="F32" s="40" t="n"/>
      <c r="G32" s="40" t="n"/>
      <c r="H32" s="40" t="n"/>
      <c r="I32" s="40" t="n"/>
      <c r="J32" s="40" t="n"/>
    </row>
    <row r="33" ht="22" customHeight="1">
      <c r="A33" s="37" t="n"/>
      <c r="B33" s="37" t="n"/>
      <c r="C33" s="37" t="n"/>
      <c r="D33" s="37" t="n"/>
      <c r="E33" s="37" t="n"/>
      <c r="F33" s="37" t="n"/>
      <c r="G33" s="37" t="n"/>
      <c r="H33" s="37" t="n"/>
      <c r="I33" s="37" t="n"/>
      <c r="J33" s="37" t="n"/>
    </row>
    <row r="34" ht="22" customHeight="1">
      <c r="A34" s="40" t="n"/>
      <c r="B34" s="40" t="n"/>
      <c r="C34" s="40" t="n"/>
      <c r="D34" s="40" t="n"/>
      <c r="E34" s="40" t="n"/>
      <c r="F34" s="40" t="n"/>
      <c r="G34" s="40" t="n"/>
      <c r="H34" s="40" t="n"/>
      <c r="I34" s="40" t="n"/>
      <c r="J34" s="40" t="n"/>
    </row>
    <row r="35" ht="22" customHeight="1">
      <c r="A35" s="37" t="n"/>
      <c r="B35" s="37" t="n"/>
      <c r="C35" s="37" t="n"/>
      <c r="D35" s="37" t="n"/>
      <c r="E35" s="37" t="n"/>
      <c r="F35" s="37" t="n"/>
      <c r="G35" s="37" t="n"/>
      <c r="H35" s="37" t="n"/>
      <c r="I35" s="37" t="n"/>
      <c r="J35" s="37" t="n"/>
    </row>
    <row r="36" ht="22" customHeight="1">
      <c r="A36" s="40" t="n"/>
      <c r="B36" s="40" t="n"/>
      <c r="C36" s="40" t="n"/>
      <c r="D36" s="40" t="n"/>
      <c r="E36" s="40" t="n"/>
      <c r="F36" s="40" t="n"/>
      <c r="G36" s="40" t="n"/>
      <c r="H36" s="40" t="n"/>
      <c r="I36" s="40" t="n"/>
      <c r="J36" s="40" t="n"/>
    </row>
    <row r="37" ht="22" customHeight="1">
      <c r="A37" s="37" t="n"/>
      <c r="B37" s="37" t="n"/>
      <c r="C37" s="37" t="n"/>
      <c r="D37" s="37" t="n"/>
      <c r="E37" s="37" t="n"/>
      <c r="F37" s="37" t="n"/>
      <c r="G37" s="37" t="n"/>
      <c r="H37" s="37" t="n"/>
      <c r="I37" s="37" t="n"/>
      <c r="J37" s="37" t="n"/>
    </row>
    <row r="38" ht="22" customHeight="1">
      <c r="A38" s="40" t="n"/>
      <c r="B38" s="40" t="n"/>
      <c r="C38" s="40" t="n"/>
      <c r="D38" s="40" t="n"/>
      <c r="E38" s="40" t="n"/>
      <c r="F38" s="40" t="n"/>
      <c r="G38" s="40" t="n"/>
      <c r="H38" s="40" t="n"/>
      <c r="I38" s="40" t="n"/>
      <c r="J38" s="40" t="n"/>
    </row>
    <row r="39" ht="22" customHeight="1">
      <c r="A39" s="37" t="n"/>
      <c r="B39" s="37" t="n"/>
      <c r="C39" s="37" t="n"/>
      <c r="D39" s="37" t="n"/>
      <c r="E39" s="37" t="n"/>
      <c r="F39" s="37" t="n"/>
      <c r="G39" s="37" t="n"/>
      <c r="H39" s="37" t="n"/>
      <c r="I39" s="37" t="n"/>
      <c r="J39" s="37" t="n"/>
    </row>
    <row r="40" ht="22" customHeight="1">
      <c r="A40" s="40" t="n"/>
      <c r="B40" s="40" t="n"/>
      <c r="C40" s="40" t="n"/>
      <c r="D40" s="40" t="n"/>
      <c r="E40" s="40" t="n"/>
      <c r="F40" s="40" t="n"/>
      <c r="G40" s="40" t="n"/>
      <c r="H40" s="40" t="n"/>
      <c r="I40" s="40" t="n"/>
      <c r="J40" s="40" t="n"/>
    </row>
  </sheetData>
  <mergeCells count="3">
    <mergeCell ref="A1:J1"/>
    <mergeCell ref="A4:J4"/>
    <mergeCell ref="A2:J2"/>
  </mergeCells>
  <conditionalFormatting sqref="F7:F40">
    <cfRule type="cellIs" priority="1" operator="equal" dxfId="5">
      <formula>"Not started"</formula>
    </cfRule>
    <cfRule type="cellIs" priority="2" operator="equal" dxfId="3">
      <formula>"In progress"</formula>
    </cfRule>
    <cfRule type="cellIs" priority="3" operator="equal" dxfId="2">
      <formula>"Done"</formula>
    </cfRule>
    <cfRule type="cellIs" priority="4" operator="equal" dxfId="8">
      <formula>"Renegotiated"</formula>
    </cfRule>
    <cfRule type="cellIs" priority="5" operator="equal" dxfId="9">
      <formula>"Dropped"</formula>
    </cfRule>
  </conditionalFormatting>
  <conditionalFormatting sqref="H7:H40">
    <cfRule type="cellIs" priority="6" operator="equal" dxfId="2">
      <formula>"Yes"</formula>
    </cfRule>
    <cfRule type="cellIs" priority="7" operator="equal" dxfId="8">
      <formula>"No — cleaned up early"</formula>
    </cfRule>
    <cfRule type="cellIs" priority="8" operator="equal" dxfId="6">
      <formula>"No — missed"</formula>
    </cfRule>
  </conditionalFormatting>
  <dataValidations count="2">
    <dataValidation sqref="F7:F40" showDropDown="0" showInputMessage="0" showErrorMessage="0" allowBlank="1" promptTitle="Action status" type="list">
      <formula1>"Not started,In progress,Done,Renegotiated,Dropped"</formula1>
    </dataValidation>
    <dataValidation sqref="H7:H40" showDropDown="0" showInputMessage="1" showErrorMessage="0" allowBlank="1" promptTitle="Integrity" prompt="'Cleaned up early' = owner flagged the slip BEFORE the date and renegotiated. That preserves integrity." type="list">
      <formula1>"Yes,No — cleaned up early,No — missed"</formula1>
    </dataValidation>
  </dataValidations>
  <pageMargins left="0.75" right="0.75" top="1" bottom="1" header="0.5" footer="0.5"/>
</worksheet>
</file>

<file path=xl/worksheets/sheet8.xml><?xml version="1.0" encoding="utf-8"?>
<worksheet xmlns="http://schemas.openxmlformats.org/spreadsheetml/2006/main">
  <sheetPr>
    <tabColor rgb="000F6BB2"/>
    <outlinePr summaryBelow="1" summaryRight="1"/>
    <pageSetUpPr/>
  </sheetPr>
  <dimension ref="A1:J46"/>
  <sheetViews>
    <sheetView showGridLines="0" zoomScale="100" workbookViewId="0">
      <pane ySplit="6" topLeftCell="A7" activePane="bottomLeft" state="frozen"/>
      <selection pane="bottomLeft" activeCell="A1" sqref="A1"/>
    </sheetView>
  </sheetViews>
  <sheetFormatPr baseColWidth="8" defaultRowHeight="15"/>
  <cols>
    <col width="12" customWidth="1" min="1" max="1"/>
    <col width="12" customWidth="1" min="2" max="2"/>
    <col width="42" customWidth="1" min="3" max="3"/>
    <col width="18" customWidth="1" min="4" max="4"/>
    <col width="26" customWidth="1" min="5" max="5"/>
    <col width="14" customWidth="1" min="6" max="6"/>
    <col width="14" customWidth="1" min="7" max="7"/>
    <col width="16" customWidth="1" min="8" max="8"/>
    <col width="30" customWidth="1" min="9" max="9"/>
    <col width="12" customWidth="1" min="10" max="10"/>
  </cols>
  <sheetData>
    <row r="1" ht="40" customHeight="1">
      <c r="A1" s="60" t="inlineStr">
        <is>
          <t>📅  RUF Weekly Schedule</t>
        </is>
      </c>
      <c r="B1" s="31" t="n"/>
      <c r="C1" s="31" t="n"/>
      <c r="D1" s="31" t="n"/>
      <c r="E1" s="31" t="n"/>
      <c r="F1" s="31" t="n"/>
      <c r="G1" s="31" t="n"/>
      <c r="H1" s="31" t="n"/>
      <c r="I1" s="31" t="n"/>
      <c r="J1" s="31" t="n"/>
    </row>
    <row r="2" ht="22" customHeight="1">
      <c r="A2" s="61" t="inlineStr">
        <is>
          <t>The whole project as weekly deliverables, each owned by one named person. Done or not done — no percentages.</t>
        </is>
      </c>
      <c r="B2" s="31" t="n"/>
      <c r="C2" s="31" t="n"/>
      <c r="D2" s="31" t="n"/>
      <c r="E2" s="31" t="n"/>
      <c r="F2" s="31" t="n"/>
      <c r="G2" s="31" t="n"/>
      <c r="H2" s="31" t="n"/>
      <c r="I2" s="31" t="n"/>
      <c r="J2" s="31" t="n"/>
    </row>
    <row r="4" ht="56" customHeight="1">
      <c r="A4" s="62" t="inlineStr">
        <is>
          <t>💡 HOW TO USE: Rows are DELIVERABLES (nouns, verifiable), not activities — 'Draft test plan reviewed by QA' not 'work on testing'. Each has ONE owner and a committed week. At the WAM each row for the closing week is scored Done / Not done — that feeds the Weekly Completion Rate on the 📊 Dashboard, RUF's signature health metric. Slips are renegotiated visibly (cleanup), never silently moved.</t>
        </is>
      </c>
      <c r="B4" s="33" t="n"/>
      <c r="C4" s="33" t="n"/>
      <c r="D4" s="33" t="n"/>
      <c r="E4" s="33" t="n"/>
      <c r="F4" s="33" t="n"/>
      <c r="G4" s="33" t="n"/>
      <c r="H4" s="33" t="n"/>
      <c r="I4" s="33" t="n"/>
      <c r="J4" s="33" t="n"/>
    </row>
    <row r="6" ht="30" customHeight="1">
      <c r="A6" s="63" t="inlineStr">
        <is>
          <t xml:space="preserve">Week # </t>
        </is>
      </c>
      <c r="B6" s="63" t="inlineStr">
        <is>
          <t>Week of (Mon)</t>
        </is>
      </c>
      <c r="C6" s="63" t="inlineStr">
        <is>
          <t>Deliverable (noun — verifiable done/not-done)</t>
        </is>
      </c>
      <c r="D6" s="63" t="inlineStr">
        <is>
          <t>Accountable Owner</t>
        </is>
      </c>
      <c r="E6" s="63" t="inlineStr">
        <is>
          <t>What 'done' means</t>
        </is>
      </c>
      <c r="F6" s="63" t="inlineStr">
        <is>
          <t>Committed?</t>
        </is>
      </c>
      <c r="G6" s="63" t="inlineStr">
        <is>
          <t>Scored at WAM</t>
        </is>
      </c>
      <c r="H6" s="63" t="inlineStr">
        <is>
          <t>If not done: cleanup</t>
        </is>
      </c>
      <c r="I6" s="63" t="inlineStr">
        <is>
          <t>Notes</t>
        </is>
      </c>
      <c r="J6" s="63" t="inlineStr">
        <is>
          <t>Carry-over of</t>
        </is>
      </c>
    </row>
    <row r="7" ht="22" customHeight="1">
      <c r="A7" s="37" t="n"/>
      <c r="B7" s="37" t="n"/>
      <c r="C7" s="37" t="n"/>
      <c r="D7" s="37" t="n"/>
      <c r="E7" s="37" t="n"/>
      <c r="F7" s="37" t="n"/>
      <c r="G7" s="37" t="n"/>
      <c r="H7" s="37" t="n"/>
      <c r="I7" s="37" t="n"/>
      <c r="J7" s="37" t="n"/>
    </row>
    <row r="8" ht="22" customHeight="1">
      <c r="A8" s="40" t="n"/>
      <c r="B8" s="40" t="n"/>
      <c r="C8" s="40" t="n"/>
      <c r="D8" s="40" t="n"/>
      <c r="E8" s="40" t="n"/>
      <c r="F8" s="40" t="n"/>
      <c r="G8" s="40" t="n"/>
      <c r="H8" s="40" t="n"/>
      <c r="I8" s="40" t="n"/>
      <c r="J8" s="40" t="n"/>
    </row>
    <row r="9" ht="22" customHeight="1">
      <c r="A9" s="37" t="n"/>
      <c r="B9" s="37" t="n"/>
      <c r="C9" s="37" t="n"/>
      <c r="D9" s="37" t="n"/>
      <c r="E9" s="37" t="n"/>
      <c r="F9" s="37" t="n"/>
      <c r="G9" s="37" t="n"/>
      <c r="H9" s="37" t="n"/>
      <c r="I9" s="37" t="n"/>
      <c r="J9" s="37" t="n"/>
    </row>
    <row r="10" ht="22" customHeight="1">
      <c r="A10" s="40" t="n"/>
      <c r="B10" s="40" t="n"/>
      <c r="C10" s="40" t="n"/>
      <c r="D10" s="40" t="n"/>
      <c r="E10" s="40" t="n"/>
      <c r="F10" s="40" t="n"/>
      <c r="G10" s="40" t="n"/>
      <c r="H10" s="40" t="n"/>
      <c r="I10" s="40" t="n"/>
      <c r="J10" s="40" t="n"/>
    </row>
    <row r="11" ht="22" customHeight="1">
      <c r="A11" s="37" t="n"/>
      <c r="B11" s="37" t="n"/>
      <c r="C11" s="37" t="n"/>
      <c r="D11" s="37" t="n"/>
      <c r="E11" s="37" t="n"/>
      <c r="F11" s="37" t="n"/>
      <c r="G11" s="37" t="n"/>
      <c r="H11" s="37" t="n"/>
      <c r="I11" s="37" t="n"/>
      <c r="J11" s="37" t="n"/>
    </row>
    <row r="12" ht="22" customHeight="1">
      <c r="A12" s="40" t="n"/>
      <c r="B12" s="40" t="n"/>
      <c r="C12" s="40" t="n"/>
      <c r="D12" s="40" t="n"/>
      <c r="E12" s="40" t="n"/>
      <c r="F12" s="40" t="n"/>
      <c r="G12" s="40" t="n"/>
      <c r="H12" s="40" t="n"/>
      <c r="I12" s="40" t="n"/>
      <c r="J12" s="40" t="n"/>
    </row>
    <row r="13" ht="22" customHeight="1">
      <c r="A13" s="37" t="n"/>
      <c r="B13" s="37" t="n"/>
      <c r="C13" s="37" t="n"/>
      <c r="D13" s="37" t="n"/>
      <c r="E13" s="37" t="n"/>
      <c r="F13" s="37" t="n"/>
      <c r="G13" s="37" t="n"/>
      <c r="H13" s="37" t="n"/>
      <c r="I13" s="37" t="n"/>
      <c r="J13" s="37" t="n"/>
    </row>
    <row r="14" ht="22" customHeight="1">
      <c r="A14" s="40" t="n"/>
      <c r="B14" s="40" t="n"/>
      <c r="C14" s="40" t="n"/>
      <c r="D14" s="40" t="n"/>
      <c r="E14" s="40" t="n"/>
      <c r="F14" s="40" t="n"/>
      <c r="G14" s="40" t="n"/>
      <c r="H14" s="40" t="n"/>
      <c r="I14" s="40" t="n"/>
      <c r="J14" s="40" t="n"/>
    </row>
    <row r="15" ht="22" customHeight="1">
      <c r="A15" s="37" t="n"/>
      <c r="B15" s="37" t="n"/>
      <c r="C15" s="37" t="n"/>
      <c r="D15" s="37" t="n"/>
      <c r="E15" s="37" t="n"/>
      <c r="F15" s="37" t="n"/>
      <c r="G15" s="37" t="n"/>
      <c r="H15" s="37" t="n"/>
      <c r="I15" s="37" t="n"/>
      <c r="J15" s="37" t="n"/>
    </row>
    <row r="16" ht="22" customHeight="1">
      <c r="A16" s="40" t="n"/>
      <c r="B16" s="40" t="n"/>
      <c r="C16" s="40" t="n"/>
      <c r="D16" s="40" t="n"/>
      <c r="E16" s="40" t="n"/>
      <c r="F16" s="40" t="n"/>
      <c r="G16" s="40" t="n"/>
      <c r="H16" s="40" t="n"/>
      <c r="I16" s="40" t="n"/>
      <c r="J16" s="40" t="n"/>
    </row>
    <row r="17" ht="22" customHeight="1">
      <c r="A17" s="37" t="n"/>
      <c r="B17" s="37" t="n"/>
      <c r="C17" s="37" t="n"/>
      <c r="D17" s="37" t="n"/>
      <c r="E17" s="37" t="n"/>
      <c r="F17" s="37" t="n"/>
      <c r="G17" s="37" t="n"/>
      <c r="H17" s="37" t="n"/>
      <c r="I17" s="37" t="n"/>
      <c r="J17" s="37" t="n"/>
    </row>
    <row r="18" ht="22" customHeight="1">
      <c r="A18" s="40" t="n"/>
      <c r="B18" s="40" t="n"/>
      <c r="C18" s="40" t="n"/>
      <c r="D18" s="40" t="n"/>
      <c r="E18" s="40" t="n"/>
      <c r="F18" s="40" t="n"/>
      <c r="G18" s="40" t="n"/>
      <c r="H18" s="40" t="n"/>
      <c r="I18" s="40" t="n"/>
      <c r="J18" s="40" t="n"/>
    </row>
    <row r="19" ht="22" customHeight="1">
      <c r="A19" s="37" t="n"/>
      <c r="B19" s="37" t="n"/>
      <c r="C19" s="37" t="n"/>
      <c r="D19" s="37" t="n"/>
      <c r="E19" s="37" t="n"/>
      <c r="F19" s="37" t="n"/>
      <c r="G19" s="37" t="n"/>
      <c r="H19" s="37" t="n"/>
      <c r="I19" s="37" t="n"/>
      <c r="J19" s="37" t="n"/>
    </row>
    <row r="20" ht="22" customHeight="1">
      <c r="A20" s="40" t="n"/>
      <c r="B20" s="40" t="n"/>
      <c r="C20" s="40" t="n"/>
      <c r="D20" s="40" t="n"/>
      <c r="E20" s="40" t="n"/>
      <c r="F20" s="40" t="n"/>
      <c r="G20" s="40" t="n"/>
      <c r="H20" s="40" t="n"/>
      <c r="I20" s="40" t="n"/>
      <c r="J20" s="40" t="n"/>
    </row>
    <row r="21" ht="22" customHeight="1">
      <c r="A21" s="37" t="n"/>
      <c r="B21" s="37" t="n"/>
      <c r="C21" s="37" t="n"/>
      <c r="D21" s="37" t="n"/>
      <c r="E21" s="37" t="n"/>
      <c r="F21" s="37" t="n"/>
      <c r="G21" s="37" t="n"/>
      <c r="H21" s="37" t="n"/>
      <c r="I21" s="37" t="n"/>
      <c r="J21" s="37" t="n"/>
    </row>
    <row r="22" ht="22" customHeight="1">
      <c r="A22" s="40" t="n"/>
      <c r="B22" s="40" t="n"/>
      <c r="C22" s="40" t="n"/>
      <c r="D22" s="40" t="n"/>
      <c r="E22" s="40" t="n"/>
      <c r="F22" s="40" t="n"/>
      <c r="G22" s="40" t="n"/>
      <c r="H22" s="40" t="n"/>
      <c r="I22" s="40" t="n"/>
      <c r="J22" s="40" t="n"/>
    </row>
    <row r="23" ht="22" customHeight="1">
      <c r="A23" s="37" t="n"/>
      <c r="B23" s="37" t="n"/>
      <c r="C23" s="37" t="n"/>
      <c r="D23" s="37" t="n"/>
      <c r="E23" s="37" t="n"/>
      <c r="F23" s="37" t="n"/>
      <c r="G23" s="37" t="n"/>
      <c r="H23" s="37" t="n"/>
      <c r="I23" s="37" t="n"/>
      <c r="J23" s="37" t="n"/>
    </row>
    <row r="24" ht="22" customHeight="1">
      <c r="A24" s="40" t="n"/>
      <c r="B24" s="40" t="n"/>
      <c r="C24" s="40" t="n"/>
      <c r="D24" s="40" t="n"/>
      <c r="E24" s="40" t="n"/>
      <c r="F24" s="40" t="n"/>
      <c r="G24" s="40" t="n"/>
      <c r="H24" s="40" t="n"/>
      <c r="I24" s="40" t="n"/>
      <c r="J24" s="40" t="n"/>
    </row>
    <row r="25" ht="22" customHeight="1">
      <c r="A25" s="37" t="n"/>
      <c r="B25" s="37" t="n"/>
      <c r="C25" s="37" t="n"/>
      <c r="D25" s="37" t="n"/>
      <c r="E25" s="37" t="n"/>
      <c r="F25" s="37" t="n"/>
      <c r="G25" s="37" t="n"/>
      <c r="H25" s="37" t="n"/>
      <c r="I25" s="37" t="n"/>
      <c r="J25" s="37" t="n"/>
    </row>
    <row r="26" ht="22" customHeight="1">
      <c r="A26" s="40" t="n"/>
      <c r="B26" s="40" t="n"/>
      <c r="C26" s="40" t="n"/>
      <c r="D26" s="40" t="n"/>
      <c r="E26" s="40" t="n"/>
      <c r="F26" s="40" t="n"/>
      <c r="G26" s="40" t="n"/>
      <c r="H26" s="40" t="n"/>
      <c r="I26" s="40" t="n"/>
      <c r="J26" s="40" t="n"/>
    </row>
    <row r="27" ht="22" customHeight="1">
      <c r="A27" s="37" t="n"/>
      <c r="B27" s="37" t="n"/>
      <c r="C27" s="37" t="n"/>
      <c r="D27" s="37" t="n"/>
      <c r="E27" s="37" t="n"/>
      <c r="F27" s="37" t="n"/>
      <c r="G27" s="37" t="n"/>
      <c r="H27" s="37" t="n"/>
      <c r="I27" s="37" t="n"/>
      <c r="J27" s="37" t="n"/>
    </row>
    <row r="28" ht="22" customHeight="1">
      <c r="A28" s="40" t="n"/>
      <c r="B28" s="40" t="n"/>
      <c r="C28" s="40" t="n"/>
      <c r="D28" s="40" t="n"/>
      <c r="E28" s="40" t="n"/>
      <c r="F28" s="40" t="n"/>
      <c r="G28" s="40" t="n"/>
      <c r="H28" s="40" t="n"/>
      <c r="I28" s="40" t="n"/>
      <c r="J28" s="40" t="n"/>
    </row>
    <row r="29" ht="22" customHeight="1">
      <c r="A29" s="37" t="n"/>
      <c r="B29" s="37" t="n"/>
      <c r="C29" s="37" t="n"/>
      <c r="D29" s="37" t="n"/>
      <c r="E29" s="37" t="n"/>
      <c r="F29" s="37" t="n"/>
      <c r="G29" s="37" t="n"/>
      <c r="H29" s="37" t="n"/>
      <c r="I29" s="37" t="n"/>
      <c r="J29" s="37" t="n"/>
    </row>
    <row r="30" ht="22" customHeight="1">
      <c r="A30" s="40" t="n"/>
      <c r="B30" s="40" t="n"/>
      <c r="C30" s="40" t="n"/>
      <c r="D30" s="40" t="n"/>
      <c r="E30" s="40" t="n"/>
      <c r="F30" s="40" t="n"/>
      <c r="G30" s="40" t="n"/>
      <c r="H30" s="40" t="n"/>
      <c r="I30" s="40" t="n"/>
      <c r="J30" s="40" t="n"/>
    </row>
    <row r="31" ht="22" customHeight="1">
      <c r="A31" s="37" t="n"/>
      <c r="B31" s="37" t="n"/>
      <c r="C31" s="37" t="n"/>
      <c r="D31" s="37" t="n"/>
      <c r="E31" s="37" t="n"/>
      <c r="F31" s="37" t="n"/>
      <c r="G31" s="37" t="n"/>
      <c r="H31" s="37" t="n"/>
      <c r="I31" s="37" t="n"/>
      <c r="J31" s="37" t="n"/>
    </row>
    <row r="32" ht="22" customHeight="1">
      <c r="A32" s="40" t="n"/>
      <c r="B32" s="40" t="n"/>
      <c r="C32" s="40" t="n"/>
      <c r="D32" s="40" t="n"/>
      <c r="E32" s="40" t="n"/>
      <c r="F32" s="40" t="n"/>
      <c r="G32" s="40" t="n"/>
      <c r="H32" s="40" t="n"/>
      <c r="I32" s="40" t="n"/>
      <c r="J32" s="40" t="n"/>
    </row>
    <row r="33" ht="22" customHeight="1">
      <c r="A33" s="37" t="n"/>
      <c r="B33" s="37" t="n"/>
      <c r="C33" s="37" t="n"/>
      <c r="D33" s="37" t="n"/>
      <c r="E33" s="37" t="n"/>
      <c r="F33" s="37" t="n"/>
      <c r="G33" s="37" t="n"/>
      <c r="H33" s="37" t="n"/>
      <c r="I33" s="37" t="n"/>
      <c r="J33" s="37" t="n"/>
    </row>
    <row r="34" ht="22" customHeight="1">
      <c r="A34" s="40" t="n"/>
      <c r="B34" s="40" t="n"/>
      <c r="C34" s="40" t="n"/>
      <c r="D34" s="40" t="n"/>
      <c r="E34" s="40" t="n"/>
      <c r="F34" s="40" t="n"/>
      <c r="G34" s="40" t="n"/>
      <c r="H34" s="40" t="n"/>
      <c r="I34" s="40" t="n"/>
      <c r="J34" s="40" t="n"/>
    </row>
    <row r="35" ht="22" customHeight="1">
      <c r="A35" s="37" t="n"/>
      <c r="B35" s="37" t="n"/>
      <c r="C35" s="37" t="n"/>
      <c r="D35" s="37" t="n"/>
      <c r="E35" s="37" t="n"/>
      <c r="F35" s="37" t="n"/>
      <c r="G35" s="37" t="n"/>
      <c r="H35" s="37" t="n"/>
      <c r="I35" s="37" t="n"/>
      <c r="J35" s="37" t="n"/>
    </row>
    <row r="36" ht="22" customHeight="1">
      <c r="A36" s="40" t="n"/>
      <c r="B36" s="40" t="n"/>
      <c r="C36" s="40" t="n"/>
      <c r="D36" s="40" t="n"/>
      <c r="E36" s="40" t="n"/>
      <c r="F36" s="40" t="n"/>
      <c r="G36" s="40" t="n"/>
      <c r="H36" s="40" t="n"/>
      <c r="I36" s="40" t="n"/>
      <c r="J36" s="40" t="n"/>
    </row>
    <row r="37" ht="22" customHeight="1">
      <c r="A37" s="37" t="n"/>
      <c r="B37" s="37" t="n"/>
      <c r="C37" s="37" t="n"/>
      <c r="D37" s="37" t="n"/>
      <c r="E37" s="37" t="n"/>
      <c r="F37" s="37" t="n"/>
      <c r="G37" s="37" t="n"/>
      <c r="H37" s="37" t="n"/>
      <c r="I37" s="37" t="n"/>
      <c r="J37" s="37" t="n"/>
    </row>
    <row r="38" ht="22" customHeight="1">
      <c r="A38" s="40" t="n"/>
      <c r="B38" s="40" t="n"/>
      <c r="C38" s="40" t="n"/>
      <c r="D38" s="40" t="n"/>
      <c r="E38" s="40" t="n"/>
      <c r="F38" s="40" t="n"/>
      <c r="G38" s="40" t="n"/>
      <c r="H38" s="40" t="n"/>
      <c r="I38" s="40" t="n"/>
      <c r="J38" s="40" t="n"/>
    </row>
    <row r="39" ht="22" customHeight="1">
      <c r="A39" s="37" t="n"/>
      <c r="B39" s="37" t="n"/>
      <c r="C39" s="37" t="n"/>
      <c r="D39" s="37" t="n"/>
      <c r="E39" s="37" t="n"/>
      <c r="F39" s="37" t="n"/>
      <c r="G39" s="37" t="n"/>
      <c r="H39" s="37" t="n"/>
      <c r="I39" s="37" t="n"/>
      <c r="J39" s="37" t="n"/>
    </row>
    <row r="40" ht="22" customHeight="1">
      <c r="A40" s="40" t="n"/>
      <c r="B40" s="40" t="n"/>
      <c r="C40" s="40" t="n"/>
      <c r="D40" s="40" t="n"/>
      <c r="E40" s="40" t="n"/>
      <c r="F40" s="40" t="n"/>
      <c r="G40" s="40" t="n"/>
      <c r="H40" s="40" t="n"/>
      <c r="I40" s="40" t="n"/>
      <c r="J40" s="40" t="n"/>
    </row>
    <row r="41" ht="22" customHeight="1">
      <c r="A41" s="37" t="n"/>
      <c r="B41" s="37" t="n"/>
      <c r="C41" s="37" t="n"/>
      <c r="D41" s="37" t="n"/>
      <c r="E41" s="37" t="n"/>
      <c r="F41" s="37" t="n"/>
      <c r="G41" s="37" t="n"/>
      <c r="H41" s="37" t="n"/>
      <c r="I41" s="37" t="n"/>
      <c r="J41" s="37" t="n"/>
    </row>
    <row r="42" ht="22" customHeight="1">
      <c r="A42" s="40" t="n"/>
      <c r="B42" s="40" t="n"/>
      <c r="C42" s="40" t="n"/>
      <c r="D42" s="40" t="n"/>
      <c r="E42" s="40" t="n"/>
      <c r="F42" s="40" t="n"/>
      <c r="G42" s="40" t="n"/>
      <c r="H42" s="40" t="n"/>
      <c r="I42" s="40" t="n"/>
      <c r="J42" s="40" t="n"/>
    </row>
    <row r="43" ht="22" customHeight="1">
      <c r="A43" s="37" t="n"/>
      <c r="B43" s="37" t="n"/>
      <c r="C43" s="37" t="n"/>
      <c r="D43" s="37" t="n"/>
      <c r="E43" s="37" t="n"/>
      <c r="F43" s="37" t="n"/>
      <c r="G43" s="37" t="n"/>
      <c r="H43" s="37" t="n"/>
      <c r="I43" s="37" t="n"/>
      <c r="J43" s="37" t="n"/>
    </row>
    <row r="44" ht="22" customHeight="1">
      <c r="A44" s="40" t="n"/>
      <c r="B44" s="40" t="n"/>
      <c r="C44" s="40" t="n"/>
      <c r="D44" s="40" t="n"/>
      <c r="E44" s="40" t="n"/>
      <c r="F44" s="40" t="n"/>
      <c r="G44" s="40" t="n"/>
      <c r="H44" s="40" t="n"/>
      <c r="I44" s="40" t="n"/>
      <c r="J44" s="40" t="n"/>
    </row>
    <row r="45" ht="22" customHeight="1">
      <c r="A45" s="37" t="n"/>
      <c r="B45" s="37" t="n"/>
      <c r="C45" s="37" t="n"/>
      <c r="D45" s="37" t="n"/>
      <c r="E45" s="37" t="n"/>
      <c r="F45" s="37" t="n"/>
      <c r="G45" s="37" t="n"/>
      <c r="H45" s="37" t="n"/>
      <c r="I45" s="37" t="n"/>
      <c r="J45" s="37" t="n"/>
    </row>
    <row r="46" ht="22" customHeight="1">
      <c r="A46" s="40" t="n"/>
      <c r="B46" s="40" t="n"/>
      <c r="C46" s="40" t="n"/>
      <c r="D46" s="40" t="n"/>
      <c r="E46" s="40" t="n"/>
      <c r="F46" s="40" t="n"/>
      <c r="G46" s="40" t="n"/>
      <c r="H46" s="40" t="n"/>
      <c r="I46" s="40" t="n"/>
      <c r="J46" s="40" t="n"/>
    </row>
  </sheetData>
  <mergeCells count="3">
    <mergeCell ref="A1:J1"/>
    <mergeCell ref="A4:J4"/>
    <mergeCell ref="A2:J2"/>
  </mergeCells>
  <conditionalFormatting sqref="G7:G46">
    <cfRule type="cellIs" priority="1" operator="equal" dxfId="2">
      <formula>"Done"</formula>
    </cfRule>
    <cfRule type="cellIs" priority="2" operator="equal" dxfId="6">
      <formula>"Not done"</formula>
    </cfRule>
  </conditionalFormatting>
  <conditionalFormatting sqref="F7:F46">
    <cfRule type="cellIs" priority="3" operator="equal" dxfId="0">
      <formula>"Committed"</formula>
    </cfRule>
    <cfRule type="cellIs" priority="4" operator="equal" dxfId="1">
      <formula>"Target"</formula>
    </cfRule>
  </conditionalFormatting>
  <dataValidations count="2">
    <dataValidation sqref="F7:F46" showDropDown="0" showInputMessage="1" showErrorMessage="0" allowBlank="1" promptTitle="Commitment" prompt="Targets become Commitments at the Team Commitment decision point (or when the owner commits at WAM)." type="list">
      <formula1>"Target,Committed"</formula1>
    </dataValidation>
    <dataValidation sqref="G7:G46" showDropDown="0" showInputMessage="1" showErrorMessage="0" allowBlank="1" promptTitle="WAM score" prompt="Binary. Scored publicly at the WAM for the week just ended." type="list">
      <formula1>"Done,Not done,—"</formula1>
    </dataValidation>
  </dataValidations>
  <pageMargins left="0.75" right="0.75" top="1" bottom="1" header="0.5" footer="0.5"/>
</worksheet>
</file>

<file path=xl/worksheets/sheet9.xml><?xml version="1.0" encoding="utf-8"?>
<worksheet xmlns="http://schemas.openxmlformats.org/spreadsheetml/2006/main">
  <sheetPr>
    <tabColor rgb="008C2D6B"/>
    <outlinePr summaryBelow="1" summaryRight="1"/>
    <pageSetUpPr/>
  </sheetPr>
  <dimension ref="A1:H42"/>
  <sheetViews>
    <sheetView showGridLines="0" zoomScale="100" workbookViewId="0">
      <pane ySplit="16" topLeftCell="A17" activePane="bottomLeft" state="frozen"/>
      <selection pane="bottomLeft" activeCell="A1" sqref="A1"/>
    </sheetView>
  </sheetViews>
  <sheetFormatPr baseColWidth="8" defaultRowHeight="15"/>
  <cols>
    <col width="14" customWidth="1" min="1" max="1"/>
    <col width="30" customWidth="1" min="2" max="2"/>
    <col width="30" customWidth="1" min="3" max="3"/>
    <col width="22" customWidth="1" min="4" max="4"/>
    <col width="14" customWidth="1" min="5" max="5"/>
    <col width="14" customWidth="1" min="6" max="6"/>
    <col width="30" customWidth="1" min="7" max="7"/>
    <col width="26" customWidth="1" min="8" max="8"/>
  </cols>
  <sheetData>
    <row r="1" ht="40" customHeight="1">
      <c r="A1" s="64" t="inlineStr">
        <is>
          <t>🤝  Weekly Accountability Meeting (WAM)</t>
        </is>
      </c>
      <c r="B1" s="29" t="n"/>
      <c r="C1" s="29" t="n"/>
      <c r="D1" s="29" t="n"/>
      <c r="E1" s="29" t="n"/>
      <c r="F1" s="29" t="n"/>
      <c r="G1" s="29" t="n"/>
      <c r="H1" s="29" t="n"/>
    </row>
    <row r="2" ht="22" customHeight="1">
      <c r="A2" s="65" t="inlineStr">
        <is>
          <t>The weekly heartbeat. A DKDK meeting: it exists to REVEAL, not to solve. Start on time. End on time.</t>
        </is>
      </c>
      <c r="B2" s="29" t="n"/>
      <c r="C2" s="29" t="n"/>
      <c r="D2" s="29" t="n"/>
      <c r="E2" s="29" t="n"/>
      <c r="F2" s="29" t="n"/>
      <c r="G2" s="29" t="n"/>
      <c r="H2" s="29" t="n"/>
    </row>
    <row r="4" ht="24" customHeight="1">
      <c r="A4" s="28" t="inlineStr">
        <is>
          <t>📋  Standing agenda (timebox ~30–45 min)</t>
        </is>
      </c>
      <c r="B4" s="29" t="n"/>
      <c r="C4" s="29" t="n"/>
      <c r="D4" s="29" t="n"/>
      <c r="E4" s="29" t="n"/>
      <c r="F4" s="29" t="n"/>
      <c r="G4" s="29" t="n"/>
      <c r="H4" s="29" t="n"/>
    </row>
    <row r="5" ht="30" customHeight="1">
      <c r="A5" s="42" t="inlineStr">
        <is>
          <t>Step</t>
        </is>
      </c>
      <c r="B5" s="42" t="inlineStr">
        <is>
          <t>What happens</t>
        </is>
      </c>
      <c r="C5" s="42" t="inlineStr"/>
      <c r="D5" s="42" t="inlineStr"/>
      <c r="E5" s="42" t="inlineStr"/>
      <c r="F5" s="42" t="inlineStr"/>
      <c r="G5" s="42" t="inlineStr"/>
      <c r="H5" s="42" t="inlineStr"/>
    </row>
    <row r="6" ht="30" customHeight="1">
      <c r="A6" s="12" t="inlineStr">
        <is>
          <t>1. Start on time</t>
        </is>
      </c>
      <c r="B6" s="7" t="inlineStr">
        <is>
          <t>Integrity begins with the meeting itself. Note who is present.</t>
        </is>
      </c>
    </row>
    <row r="7" ht="30" customHeight="1">
      <c r="A7" s="12" t="inlineStr">
        <is>
          <t>2. Score last week's commitments</t>
        </is>
      </c>
      <c r="B7" s="7" t="inlineStr">
        <is>
          <t>Walk the 📅 Weekly Schedule rows for the closing week. Each is publicly Done / Not done. Compute the completion rate. No blame — transparent accounting of results improves results.</t>
        </is>
      </c>
    </row>
    <row r="8" ht="30" customHeight="1">
      <c r="A8" s="12" t="inlineStr">
        <is>
          <t>3. Clean up broken commitments</t>
        </is>
      </c>
      <c r="B8" s="7" t="inlineStr">
        <is>
          <t>For each Not-done: acknowledge, root-cause briefly, re-commit with a new date. Cleanups are logged on ✅ Actions.</t>
        </is>
      </c>
    </row>
    <row r="9" ht="30" customHeight="1">
      <c r="A9" s="12" t="inlineStr">
        <is>
          <t>4. Walk the Risk Action Plan</t>
        </is>
      </c>
      <c r="B9" s="7" t="inlineStr">
        <is>
          <t>Top risks first (P1s and Novel). Check mitigation actions. Add newly surfaced risks in CEI form. Retire mitigated ones.</t>
        </is>
      </c>
    </row>
    <row r="10" ht="30" customHeight="1">
      <c r="A10" s="12" t="inlineStr">
        <is>
          <t>5. Ask the standing question</t>
        </is>
      </c>
      <c r="B10" s="7" t="inlineStr">
        <is>
          <t>“What is the most likely reason this project will fail?” The answer goes on the RAP with an owner.</t>
        </is>
      </c>
    </row>
    <row r="11" ht="30" customHeight="1">
      <c r="A11" s="12" t="inlineStr">
        <is>
          <t>6. Make next week's commitments</t>
        </is>
      </c>
      <c r="B11" s="7" t="inlineStr">
        <is>
          <t>Each owner states, in the language of commitment: 'I will deliver X by Y.' Two checks: Do we agree what done means? What might prevent it?</t>
        </is>
      </c>
    </row>
    <row r="12" ht="30" customHeight="1">
      <c r="A12" s="12" t="inlineStr">
        <is>
          <t>7. End on time</t>
        </is>
      </c>
      <c r="B12" s="7" t="inlineStr">
        <is>
          <t>Issues raised get owners and go to issue meetings. The WAM reveals; it does not solve.</t>
        </is>
      </c>
    </row>
    <row r="14" ht="24" customHeight="1">
      <c r="A14" s="28" t="inlineStr">
        <is>
          <t>🗒  WAM Log — one row per meeting</t>
        </is>
      </c>
      <c r="B14" s="29" t="n"/>
      <c r="C14" s="29" t="n"/>
      <c r="D14" s="29" t="n"/>
      <c r="E14" s="29" t="n"/>
      <c r="F14" s="29" t="n"/>
      <c r="G14" s="29" t="n"/>
      <c r="H14" s="29" t="n"/>
    </row>
    <row r="15" ht="28" customHeight="1">
      <c r="A15" s="41" t="inlineStr">
        <is>
          <t>💡 Fill this every week. AI agents ingesting meeting transcripts append here (see 🤖 AI · Transcript Ingestion). Completion rate = Done ÷ (Done + Not done) from the 📅 Weekly Schedule for that week.</t>
        </is>
      </c>
      <c r="B15" s="33" t="n"/>
      <c r="C15" s="33" t="n"/>
      <c r="D15" s="33" t="n"/>
      <c r="E15" s="33" t="n"/>
      <c r="F15" s="33" t="n"/>
      <c r="G15" s="33" t="n"/>
      <c r="H15" s="33" t="n"/>
    </row>
    <row r="16" ht="30" customHeight="1">
      <c r="A16" s="42" t="inlineStr">
        <is>
          <t>Date</t>
        </is>
      </c>
      <c r="B16" s="42" t="inlineStr">
        <is>
          <t>Attendees (absent flagged)</t>
        </is>
      </c>
      <c r="C16" s="42" t="inlineStr">
        <is>
          <t>Answer to 'most likely reason to fail'</t>
        </is>
      </c>
      <c r="D16" s="42" t="inlineStr">
        <is>
          <t>New risks added (IDs)</t>
        </is>
      </c>
      <c r="E16" s="42" t="inlineStr">
        <is>
          <t>Completion rate %</t>
        </is>
      </c>
      <c r="F16" s="42" t="inlineStr">
        <is>
          <t>Started on time?</t>
        </is>
      </c>
      <c r="G16" s="42" t="inlineStr">
        <is>
          <t>Cleanups made (action IDs)</t>
        </is>
      </c>
      <c r="H16" s="42" t="inlineStr">
        <is>
          <t>Notes / decisions referred out</t>
        </is>
      </c>
    </row>
    <row r="17" ht="24" customHeight="1">
      <c r="A17" s="37" t="n"/>
      <c r="B17" s="37" t="n"/>
      <c r="C17" s="37" t="n"/>
      <c r="D17" s="37" t="n"/>
      <c r="E17" s="37" t="n"/>
      <c r="F17" s="37" t="n"/>
      <c r="G17" s="37" t="n"/>
      <c r="H17" s="37" t="n"/>
    </row>
    <row r="18" ht="24" customHeight="1">
      <c r="A18" s="40" t="n"/>
      <c r="B18" s="40" t="n"/>
      <c r="C18" s="40" t="n"/>
      <c r="D18" s="40" t="n"/>
      <c r="E18" s="40" t="n"/>
      <c r="F18" s="40" t="n"/>
      <c r="G18" s="40" t="n"/>
      <c r="H18" s="40" t="n"/>
    </row>
    <row r="19" ht="24" customHeight="1">
      <c r="A19" s="37" t="n"/>
      <c r="B19" s="37" t="n"/>
      <c r="C19" s="37" t="n"/>
      <c r="D19" s="37" t="n"/>
      <c r="E19" s="37" t="n"/>
      <c r="F19" s="37" t="n"/>
      <c r="G19" s="37" t="n"/>
      <c r="H19" s="37" t="n"/>
    </row>
    <row r="20" ht="24" customHeight="1">
      <c r="A20" s="40" t="n"/>
      <c r="B20" s="40" t="n"/>
      <c r="C20" s="40" t="n"/>
      <c r="D20" s="40" t="n"/>
      <c r="E20" s="40" t="n"/>
      <c r="F20" s="40" t="n"/>
      <c r="G20" s="40" t="n"/>
      <c r="H20" s="40" t="n"/>
    </row>
    <row r="21" ht="24" customHeight="1">
      <c r="A21" s="37" t="n"/>
      <c r="B21" s="37" t="n"/>
      <c r="C21" s="37" t="n"/>
      <c r="D21" s="37" t="n"/>
      <c r="E21" s="37" t="n"/>
      <c r="F21" s="37" t="n"/>
      <c r="G21" s="37" t="n"/>
      <c r="H21" s="37" t="n"/>
    </row>
    <row r="22" ht="24" customHeight="1">
      <c r="A22" s="40" t="n"/>
      <c r="B22" s="40" t="n"/>
      <c r="C22" s="40" t="n"/>
      <c r="D22" s="40" t="n"/>
      <c r="E22" s="40" t="n"/>
      <c r="F22" s="40" t="n"/>
      <c r="G22" s="40" t="n"/>
      <c r="H22" s="40" t="n"/>
    </row>
    <row r="23" ht="24" customHeight="1">
      <c r="A23" s="37" t="n"/>
      <c r="B23" s="37" t="n"/>
      <c r="C23" s="37" t="n"/>
      <c r="D23" s="37" t="n"/>
      <c r="E23" s="37" t="n"/>
      <c r="F23" s="37" t="n"/>
      <c r="G23" s="37" t="n"/>
      <c r="H23" s="37" t="n"/>
    </row>
    <row r="24" ht="24" customHeight="1">
      <c r="A24" s="40" t="n"/>
      <c r="B24" s="40" t="n"/>
      <c r="C24" s="40" t="n"/>
      <c r="D24" s="40" t="n"/>
      <c r="E24" s="40" t="n"/>
      <c r="F24" s="40" t="n"/>
      <c r="G24" s="40" t="n"/>
      <c r="H24" s="40" t="n"/>
    </row>
    <row r="25" ht="24" customHeight="1">
      <c r="A25" s="37" t="n"/>
      <c r="B25" s="37" t="n"/>
      <c r="C25" s="37" t="n"/>
      <c r="D25" s="37" t="n"/>
      <c r="E25" s="37" t="n"/>
      <c r="F25" s="37" t="n"/>
      <c r="G25" s="37" t="n"/>
      <c r="H25" s="37" t="n"/>
    </row>
    <row r="26" ht="24" customHeight="1">
      <c r="A26" s="40" t="n"/>
      <c r="B26" s="40" t="n"/>
      <c r="C26" s="40" t="n"/>
      <c r="D26" s="40" t="n"/>
      <c r="E26" s="40" t="n"/>
      <c r="F26" s="40" t="n"/>
      <c r="G26" s="40" t="n"/>
      <c r="H26" s="40" t="n"/>
    </row>
    <row r="27" ht="24" customHeight="1">
      <c r="A27" s="37" t="n"/>
      <c r="B27" s="37" t="n"/>
      <c r="C27" s="37" t="n"/>
      <c r="D27" s="37" t="n"/>
      <c r="E27" s="37" t="n"/>
      <c r="F27" s="37" t="n"/>
      <c r="G27" s="37" t="n"/>
      <c r="H27" s="37" t="n"/>
    </row>
    <row r="28" ht="24" customHeight="1">
      <c r="A28" s="40" t="n"/>
      <c r="B28" s="40" t="n"/>
      <c r="C28" s="40" t="n"/>
      <c r="D28" s="40" t="n"/>
      <c r="E28" s="40" t="n"/>
      <c r="F28" s="40" t="n"/>
      <c r="G28" s="40" t="n"/>
      <c r="H28" s="40" t="n"/>
    </row>
    <row r="29" ht="24" customHeight="1">
      <c r="A29" s="37" t="n"/>
      <c r="B29" s="37" t="n"/>
      <c r="C29" s="37" t="n"/>
      <c r="D29" s="37" t="n"/>
      <c r="E29" s="37" t="n"/>
      <c r="F29" s="37" t="n"/>
      <c r="G29" s="37" t="n"/>
      <c r="H29" s="37" t="n"/>
    </row>
    <row r="30" ht="24" customHeight="1">
      <c r="A30" s="40" t="n"/>
      <c r="B30" s="40" t="n"/>
      <c r="C30" s="40" t="n"/>
      <c r="D30" s="40" t="n"/>
      <c r="E30" s="40" t="n"/>
      <c r="F30" s="40" t="n"/>
      <c r="G30" s="40" t="n"/>
      <c r="H30" s="40" t="n"/>
    </row>
    <row r="31" ht="24" customHeight="1">
      <c r="A31" s="37" t="n"/>
      <c r="B31" s="37" t="n"/>
      <c r="C31" s="37" t="n"/>
      <c r="D31" s="37" t="n"/>
      <c r="E31" s="37" t="n"/>
      <c r="F31" s="37" t="n"/>
      <c r="G31" s="37" t="n"/>
      <c r="H31" s="37" t="n"/>
    </row>
    <row r="32" ht="24" customHeight="1">
      <c r="A32" s="40" t="n"/>
      <c r="B32" s="40" t="n"/>
      <c r="C32" s="40" t="n"/>
      <c r="D32" s="40" t="n"/>
      <c r="E32" s="40" t="n"/>
      <c r="F32" s="40" t="n"/>
      <c r="G32" s="40" t="n"/>
      <c r="H32" s="40" t="n"/>
    </row>
    <row r="33" ht="24" customHeight="1">
      <c r="A33" s="37" t="n"/>
      <c r="B33" s="37" t="n"/>
      <c r="C33" s="37" t="n"/>
      <c r="D33" s="37" t="n"/>
      <c r="E33" s="37" t="n"/>
      <c r="F33" s="37" t="n"/>
      <c r="G33" s="37" t="n"/>
      <c r="H33" s="37" t="n"/>
    </row>
    <row r="34" ht="24" customHeight="1">
      <c r="A34" s="40" t="n"/>
      <c r="B34" s="40" t="n"/>
      <c r="C34" s="40" t="n"/>
      <c r="D34" s="40" t="n"/>
      <c r="E34" s="40" t="n"/>
      <c r="F34" s="40" t="n"/>
      <c r="G34" s="40" t="n"/>
      <c r="H34" s="40" t="n"/>
    </row>
    <row r="35" ht="24" customHeight="1">
      <c r="A35" s="37" t="n"/>
      <c r="B35" s="37" t="n"/>
      <c r="C35" s="37" t="n"/>
      <c r="D35" s="37" t="n"/>
      <c r="E35" s="37" t="n"/>
      <c r="F35" s="37" t="n"/>
      <c r="G35" s="37" t="n"/>
      <c r="H35" s="37" t="n"/>
    </row>
    <row r="36" ht="24" customHeight="1">
      <c r="A36" s="40" t="n"/>
      <c r="B36" s="40" t="n"/>
      <c r="C36" s="40" t="n"/>
      <c r="D36" s="40" t="n"/>
      <c r="E36" s="40" t="n"/>
      <c r="F36" s="40" t="n"/>
      <c r="G36" s="40" t="n"/>
      <c r="H36" s="40" t="n"/>
    </row>
    <row r="37" ht="24" customHeight="1">
      <c r="A37" s="37" t="n"/>
      <c r="B37" s="37" t="n"/>
      <c r="C37" s="37" t="n"/>
      <c r="D37" s="37" t="n"/>
      <c r="E37" s="37" t="n"/>
      <c r="F37" s="37" t="n"/>
      <c r="G37" s="37" t="n"/>
      <c r="H37" s="37" t="n"/>
    </row>
    <row r="38" ht="24" customHeight="1">
      <c r="A38" s="40" t="n"/>
      <c r="B38" s="40" t="n"/>
      <c r="C38" s="40" t="n"/>
      <c r="D38" s="40" t="n"/>
      <c r="E38" s="40" t="n"/>
      <c r="F38" s="40" t="n"/>
      <c r="G38" s="40" t="n"/>
      <c r="H38" s="40" t="n"/>
    </row>
    <row r="39" ht="24" customHeight="1">
      <c r="A39" s="37" t="n"/>
      <c r="B39" s="37" t="n"/>
      <c r="C39" s="37" t="n"/>
      <c r="D39" s="37" t="n"/>
      <c r="E39" s="37" t="n"/>
      <c r="F39" s="37" t="n"/>
      <c r="G39" s="37" t="n"/>
      <c r="H39" s="37" t="n"/>
    </row>
    <row r="40" ht="24" customHeight="1">
      <c r="A40" s="40" t="n"/>
      <c r="B40" s="40" t="n"/>
      <c r="C40" s="40" t="n"/>
      <c r="D40" s="40" t="n"/>
      <c r="E40" s="40" t="n"/>
      <c r="F40" s="40" t="n"/>
      <c r="G40" s="40" t="n"/>
      <c r="H40" s="40" t="n"/>
    </row>
    <row r="41" ht="24" customHeight="1">
      <c r="A41" s="37" t="n"/>
      <c r="B41" s="37" t="n"/>
      <c r="C41" s="37" t="n"/>
      <c r="D41" s="37" t="n"/>
      <c r="E41" s="37" t="n"/>
      <c r="F41" s="37" t="n"/>
      <c r="G41" s="37" t="n"/>
      <c r="H41" s="37" t="n"/>
    </row>
    <row r="42" ht="24" customHeight="1">
      <c r="A42" s="40" t="n"/>
      <c r="B42" s="40" t="n"/>
      <c r="C42" s="40" t="n"/>
      <c r="D42" s="40" t="n"/>
      <c r="E42" s="40" t="n"/>
      <c r="F42" s="40" t="n"/>
      <c r="G42" s="40" t="n"/>
      <c r="H42" s="40" t="n"/>
    </row>
  </sheetData>
  <mergeCells count="12">
    <mergeCell ref="A4:H4"/>
    <mergeCell ref="B8:H8"/>
    <mergeCell ref="B9:H9"/>
    <mergeCell ref="A15:H15"/>
    <mergeCell ref="A2:H2"/>
    <mergeCell ref="B12:H12"/>
    <mergeCell ref="B6:H6"/>
    <mergeCell ref="A14:H14"/>
    <mergeCell ref="B7:H7"/>
    <mergeCell ref="A1:H1"/>
    <mergeCell ref="B10:H10"/>
    <mergeCell ref="B11:H11"/>
  </mergeCells>
  <conditionalFormatting sqref="F17:F42">
    <cfRule type="cellIs" priority="1" operator="equal" dxfId="2">
      <formula>"Yes"</formula>
    </cfRule>
    <cfRule type="cellIs" priority="2" operator="equal" dxfId="4">
      <formula>"No"</formula>
    </cfRule>
  </conditionalFormatting>
  <conditionalFormatting sqref="E17:E42">
    <cfRule type="expression" priority="3" dxfId="4">
      <formula>AND(ISNUMBER(E17),E17&lt;80)</formula>
    </cfRule>
    <cfRule type="expression" priority="4" dxfId="2">
      <formula>AND(ISNUMBER(E17),E17&gt;=80)</formula>
    </cfRule>
  </conditionalFormatting>
  <dataValidations count="1">
    <dataValidation sqref="F17:F42" showDropDown="0" showInputMessage="0" showErrorMessage="0" allowBlank="1" promptTitle="On time" type="list">
      <formula1>"Yes,No"</formula1>
    </dataValidation>
  </dataValidations>
  <pageMargins left="0.75" right="0.75" top="1" bottom="1" header="0.5" footer="0.5"/>
</worksheet>
</file>

<file path=xl/worksheets/sheet10.xml><?xml version="1.0" encoding="utf-8"?>
<worksheet xmlns="http://schemas.openxmlformats.org/spreadsheetml/2006/main">
  <sheetPr>
    <tabColor rgb="00B25309"/>
    <outlinePr summaryBelow="1" summaryRight="1"/>
    <pageSetUpPr/>
  </sheetPr>
  <dimension ref="A1:I30"/>
  <sheetViews>
    <sheetView showGridLines="0" zoomScale="100" workbookViewId="0">
      <pane ySplit="6" topLeftCell="A7" activePane="bottomLeft" state="frozen"/>
      <selection pane="bottomLeft" activeCell="A1" sqref="A1"/>
    </sheetView>
  </sheetViews>
  <sheetFormatPr baseColWidth="8" defaultRowHeight="15"/>
  <cols>
    <col width="10" customWidth="1" min="1" max="1"/>
    <col width="46" customWidth="1" min="2" max="2"/>
    <col width="16" customWidth="1" min="3" max="3"/>
    <col width="18" customWidth="1" min="4" max="4"/>
    <col width="12" customWidth="1" min="5" max="5"/>
    <col width="14" customWidth="1" min="6" max="6"/>
    <col width="16" customWidth="1" min="7" max="7"/>
    <col width="30" customWidth="1" min="8" max="8"/>
    <col width="22" customWidth="1" min="9" max="9"/>
  </cols>
  <sheetData>
    <row r="1" ht="40" customHeight="1">
      <c r="A1" s="55" t="inlineStr">
        <is>
          <t>🚧  Issues Log</t>
        </is>
      </c>
      <c r="B1" s="56" t="n"/>
      <c r="C1" s="56" t="n"/>
      <c r="D1" s="56" t="n"/>
      <c r="E1" s="56" t="n"/>
      <c r="F1" s="56" t="n"/>
      <c r="G1" s="56" t="n"/>
      <c r="H1" s="56" t="n"/>
      <c r="I1" s="56" t="n"/>
    </row>
    <row r="2" ht="22" customHeight="1">
      <c r="A2" s="57" t="inlineStr">
        <is>
          <t>Known, present problems — already true. (Uncertain future problems are RISKS: they belong on the ⚠️ RAP in CEI form.)</t>
        </is>
      </c>
      <c r="B2" s="56" t="n"/>
      <c r="C2" s="56" t="n"/>
      <c r="D2" s="56" t="n"/>
      <c r="E2" s="56" t="n"/>
      <c r="F2" s="56" t="n"/>
      <c r="G2" s="56" t="n"/>
      <c r="H2" s="56" t="n"/>
      <c r="I2" s="56" t="n"/>
    </row>
    <row r="4" ht="42" customHeight="1">
      <c r="A4" s="58" t="inlineStr">
        <is>
          <t>💡 RISK vs ISSUE: A risk MAY happen (goes to RAP). An issue HAS happened / IS true now (goes here). When a risk materializes, set its RAP status to 'Became issue' and open a row here referencing it. Issues get solved in ISSUE MEETINGS with the right small group — not in the WAM (the WAM only reveals and assigns).</t>
        </is>
      </c>
      <c r="B4" s="33" t="n"/>
      <c r="C4" s="33" t="n"/>
      <c r="D4" s="33" t="n"/>
      <c r="E4" s="33" t="n"/>
      <c r="F4" s="33" t="n"/>
      <c r="G4" s="33" t="n"/>
      <c r="H4" s="33" t="n"/>
      <c r="I4" s="33" t="n"/>
    </row>
    <row r="6" ht="30" customHeight="1">
      <c r="A6" s="59" t="inlineStr">
        <is>
          <t>Issue ID</t>
        </is>
      </c>
      <c r="B6" s="59" t="inlineStr">
        <is>
          <t>Issue (what is true now)</t>
        </is>
      </c>
      <c r="C6" s="59" t="inlineStr">
        <is>
          <t>From risk (RAP ID, if any)</t>
        </is>
      </c>
      <c r="D6" s="59" t="inlineStr">
        <is>
          <t>Accountable Owner</t>
        </is>
      </c>
      <c r="E6" s="59" t="inlineStr">
        <is>
          <t>Severity</t>
        </is>
      </c>
      <c r="F6" s="59" t="inlineStr">
        <is>
          <t>Status</t>
        </is>
      </c>
      <c r="G6" s="59" t="inlineStr">
        <is>
          <t>Issue meeting date</t>
        </is>
      </c>
      <c r="H6" s="59" t="inlineStr">
        <is>
          <t>Resolution / decision</t>
        </is>
      </c>
      <c r="I6" s="59" t="inlineStr">
        <is>
          <t>Actions opened (IDs)</t>
        </is>
      </c>
    </row>
    <row r="7" ht="24" customHeight="1">
      <c r="A7" s="37" t="n"/>
      <c r="B7" s="37" t="n"/>
      <c r="C7" s="37" t="n"/>
      <c r="D7" s="37" t="n"/>
      <c r="E7" s="37" t="n"/>
      <c r="F7" s="37" t="n"/>
      <c r="G7" s="37" t="n"/>
      <c r="H7" s="37" t="n"/>
      <c r="I7" s="37" t="n"/>
    </row>
    <row r="8" ht="24" customHeight="1">
      <c r="A8" s="40" t="n"/>
      <c r="B8" s="40" t="n"/>
      <c r="C8" s="40" t="n"/>
      <c r="D8" s="40" t="n"/>
      <c r="E8" s="40" t="n"/>
      <c r="F8" s="40" t="n"/>
      <c r="G8" s="40" t="n"/>
      <c r="H8" s="40" t="n"/>
      <c r="I8" s="40" t="n"/>
    </row>
    <row r="9" ht="24" customHeight="1">
      <c r="A9" s="37" t="n"/>
      <c r="B9" s="37" t="n"/>
      <c r="C9" s="37" t="n"/>
      <c r="D9" s="37" t="n"/>
      <c r="E9" s="37" t="n"/>
      <c r="F9" s="37" t="n"/>
      <c r="G9" s="37" t="n"/>
      <c r="H9" s="37" t="n"/>
      <c r="I9" s="37" t="n"/>
    </row>
    <row r="10" ht="24" customHeight="1">
      <c r="A10" s="40" t="n"/>
      <c r="B10" s="40" t="n"/>
      <c r="C10" s="40" t="n"/>
      <c r="D10" s="40" t="n"/>
      <c r="E10" s="40" t="n"/>
      <c r="F10" s="40" t="n"/>
      <c r="G10" s="40" t="n"/>
      <c r="H10" s="40" t="n"/>
      <c r="I10" s="40" t="n"/>
    </row>
    <row r="11" ht="24" customHeight="1">
      <c r="A11" s="37" t="n"/>
      <c r="B11" s="37" t="n"/>
      <c r="C11" s="37" t="n"/>
      <c r="D11" s="37" t="n"/>
      <c r="E11" s="37" t="n"/>
      <c r="F11" s="37" t="n"/>
      <c r="G11" s="37" t="n"/>
      <c r="H11" s="37" t="n"/>
      <c r="I11" s="37" t="n"/>
    </row>
    <row r="12" ht="24" customHeight="1">
      <c r="A12" s="40" t="n"/>
      <c r="B12" s="40" t="n"/>
      <c r="C12" s="40" t="n"/>
      <c r="D12" s="40" t="n"/>
      <c r="E12" s="40" t="n"/>
      <c r="F12" s="40" t="n"/>
      <c r="G12" s="40" t="n"/>
      <c r="H12" s="40" t="n"/>
      <c r="I12" s="40" t="n"/>
    </row>
    <row r="13" ht="24" customHeight="1">
      <c r="A13" s="37" t="n"/>
      <c r="B13" s="37" t="n"/>
      <c r="C13" s="37" t="n"/>
      <c r="D13" s="37" t="n"/>
      <c r="E13" s="37" t="n"/>
      <c r="F13" s="37" t="n"/>
      <c r="G13" s="37" t="n"/>
      <c r="H13" s="37" t="n"/>
      <c r="I13" s="37" t="n"/>
    </row>
    <row r="14" ht="24" customHeight="1">
      <c r="A14" s="40" t="n"/>
      <c r="B14" s="40" t="n"/>
      <c r="C14" s="40" t="n"/>
      <c r="D14" s="40" t="n"/>
      <c r="E14" s="40" t="n"/>
      <c r="F14" s="40" t="n"/>
      <c r="G14" s="40" t="n"/>
      <c r="H14" s="40" t="n"/>
      <c r="I14" s="40" t="n"/>
    </row>
    <row r="15" ht="24" customHeight="1">
      <c r="A15" s="37" t="n"/>
      <c r="B15" s="37" t="n"/>
      <c r="C15" s="37" t="n"/>
      <c r="D15" s="37" t="n"/>
      <c r="E15" s="37" t="n"/>
      <c r="F15" s="37" t="n"/>
      <c r="G15" s="37" t="n"/>
      <c r="H15" s="37" t="n"/>
      <c r="I15" s="37" t="n"/>
    </row>
    <row r="16" ht="24" customHeight="1">
      <c r="A16" s="40" t="n"/>
      <c r="B16" s="40" t="n"/>
      <c r="C16" s="40" t="n"/>
      <c r="D16" s="40" t="n"/>
      <c r="E16" s="40" t="n"/>
      <c r="F16" s="40" t="n"/>
      <c r="G16" s="40" t="n"/>
      <c r="H16" s="40" t="n"/>
      <c r="I16" s="40" t="n"/>
    </row>
    <row r="17" ht="24" customHeight="1">
      <c r="A17" s="37" t="n"/>
      <c r="B17" s="37" t="n"/>
      <c r="C17" s="37" t="n"/>
      <c r="D17" s="37" t="n"/>
      <c r="E17" s="37" t="n"/>
      <c r="F17" s="37" t="n"/>
      <c r="G17" s="37" t="n"/>
      <c r="H17" s="37" t="n"/>
      <c r="I17" s="37" t="n"/>
    </row>
    <row r="18" ht="24" customHeight="1">
      <c r="A18" s="40" t="n"/>
      <c r="B18" s="40" t="n"/>
      <c r="C18" s="40" t="n"/>
      <c r="D18" s="40" t="n"/>
      <c r="E18" s="40" t="n"/>
      <c r="F18" s="40" t="n"/>
      <c r="G18" s="40" t="n"/>
      <c r="H18" s="40" t="n"/>
      <c r="I18" s="40" t="n"/>
    </row>
    <row r="19" ht="24" customHeight="1">
      <c r="A19" s="37" t="n"/>
      <c r="B19" s="37" t="n"/>
      <c r="C19" s="37" t="n"/>
      <c r="D19" s="37" t="n"/>
      <c r="E19" s="37" t="n"/>
      <c r="F19" s="37" t="n"/>
      <c r="G19" s="37" t="n"/>
      <c r="H19" s="37" t="n"/>
      <c r="I19" s="37" t="n"/>
    </row>
    <row r="20" ht="24" customHeight="1">
      <c r="A20" s="40" t="n"/>
      <c r="B20" s="40" t="n"/>
      <c r="C20" s="40" t="n"/>
      <c r="D20" s="40" t="n"/>
      <c r="E20" s="40" t="n"/>
      <c r="F20" s="40" t="n"/>
      <c r="G20" s="40" t="n"/>
      <c r="H20" s="40" t="n"/>
      <c r="I20" s="40" t="n"/>
    </row>
    <row r="21" ht="24" customHeight="1">
      <c r="A21" s="37" t="n"/>
      <c r="B21" s="37" t="n"/>
      <c r="C21" s="37" t="n"/>
      <c r="D21" s="37" t="n"/>
      <c r="E21" s="37" t="n"/>
      <c r="F21" s="37" t="n"/>
      <c r="G21" s="37" t="n"/>
      <c r="H21" s="37" t="n"/>
      <c r="I21" s="37" t="n"/>
    </row>
    <row r="22" ht="24" customHeight="1">
      <c r="A22" s="40" t="n"/>
      <c r="B22" s="40" t="n"/>
      <c r="C22" s="40" t="n"/>
      <c r="D22" s="40" t="n"/>
      <c r="E22" s="40" t="n"/>
      <c r="F22" s="40" t="n"/>
      <c r="G22" s="40" t="n"/>
      <c r="H22" s="40" t="n"/>
      <c r="I22" s="40" t="n"/>
    </row>
    <row r="23" ht="24" customHeight="1">
      <c r="A23" s="37" t="n"/>
      <c r="B23" s="37" t="n"/>
      <c r="C23" s="37" t="n"/>
      <c r="D23" s="37" t="n"/>
      <c r="E23" s="37" t="n"/>
      <c r="F23" s="37" t="n"/>
      <c r="G23" s="37" t="n"/>
      <c r="H23" s="37" t="n"/>
      <c r="I23" s="37" t="n"/>
    </row>
    <row r="24" ht="24" customHeight="1">
      <c r="A24" s="40" t="n"/>
      <c r="B24" s="40" t="n"/>
      <c r="C24" s="40" t="n"/>
      <c r="D24" s="40" t="n"/>
      <c r="E24" s="40" t="n"/>
      <c r="F24" s="40" t="n"/>
      <c r="G24" s="40" t="n"/>
      <c r="H24" s="40" t="n"/>
      <c r="I24" s="40" t="n"/>
    </row>
    <row r="25" ht="24" customHeight="1">
      <c r="A25" s="37" t="n"/>
      <c r="B25" s="37" t="n"/>
      <c r="C25" s="37" t="n"/>
      <c r="D25" s="37" t="n"/>
      <c r="E25" s="37" t="n"/>
      <c r="F25" s="37" t="n"/>
      <c r="G25" s="37" t="n"/>
      <c r="H25" s="37" t="n"/>
      <c r="I25" s="37" t="n"/>
    </row>
    <row r="26" ht="24" customHeight="1">
      <c r="A26" s="40" t="n"/>
      <c r="B26" s="40" t="n"/>
      <c r="C26" s="40" t="n"/>
      <c r="D26" s="40" t="n"/>
      <c r="E26" s="40" t="n"/>
      <c r="F26" s="40" t="n"/>
      <c r="G26" s="40" t="n"/>
      <c r="H26" s="40" t="n"/>
      <c r="I26" s="40" t="n"/>
    </row>
    <row r="27" ht="24" customHeight="1">
      <c r="A27" s="37" t="n"/>
      <c r="B27" s="37" t="n"/>
      <c r="C27" s="37" t="n"/>
      <c r="D27" s="37" t="n"/>
      <c r="E27" s="37" t="n"/>
      <c r="F27" s="37" t="n"/>
      <c r="G27" s="37" t="n"/>
      <c r="H27" s="37" t="n"/>
      <c r="I27" s="37" t="n"/>
    </row>
    <row r="28" ht="24" customHeight="1">
      <c r="A28" s="40" t="n"/>
      <c r="B28" s="40" t="n"/>
      <c r="C28" s="40" t="n"/>
      <c r="D28" s="40" t="n"/>
      <c r="E28" s="40" t="n"/>
      <c r="F28" s="40" t="n"/>
      <c r="G28" s="40" t="n"/>
      <c r="H28" s="40" t="n"/>
      <c r="I28" s="40" t="n"/>
    </row>
    <row r="29" ht="24" customHeight="1">
      <c r="A29" s="37" t="n"/>
      <c r="B29" s="37" t="n"/>
      <c r="C29" s="37" t="n"/>
      <c r="D29" s="37" t="n"/>
      <c r="E29" s="37" t="n"/>
      <c r="F29" s="37" t="n"/>
      <c r="G29" s="37" t="n"/>
      <c r="H29" s="37" t="n"/>
      <c r="I29" s="37" t="n"/>
    </row>
    <row r="30" ht="24" customHeight="1">
      <c r="A30" s="40" t="n"/>
      <c r="B30" s="40" t="n"/>
      <c r="C30" s="40" t="n"/>
      <c r="D30" s="40" t="n"/>
      <c r="E30" s="40" t="n"/>
      <c r="F30" s="40" t="n"/>
      <c r="G30" s="40" t="n"/>
      <c r="H30" s="40" t="n"/>
      <c r="I30" s="40" t="n"/>
    </row>
  </sheetData>
  <mergeCells count="3">
    <mergeCell ref="A1:I1"/>
    <mergeCell ref="A4:I4"/>
    <mergeCell ref="A2:I2"/>
  </mergeCells>
  <conditionalFormatting sqref="F7:F30">
    <cfRule type="cellIs" priority="1" operator="equal" dxfId="4">
      <formula>"Open"</formula>
    </cfRule>
    <cfRule type="cellIs" priority="2" operator="equal" dxfId="3">
      <formula>"In work"</formula>
    </cfRule>
    <cfRule type="cellIs" priority="3" operator="equal" dxfId="2">
      <formula>"Resolved"</formula>
    </cfRule>
    <cfRule type="cellIs" priority="4" operator="equal" dxfId="5">
      <formula>"Absorbed"</formula>
    </cfRule>
  </conditionalFormatting>
  <conditionalFormatting sqref="E7:E30">
    <cfRule type="cellIs" priority="5" operator="equal" dxfId="6">
      <formula>"S1 — project-threatening"</formula>
    </cfRule>
    <cfRule type="cellIs" priority="6" operator="equal" dxfId="1">
      <formula>"S2 — major"</formula>
    </cfRule>
    <cfRule type="cellIs" priority="7" operator="equal" dxfId="7">
      <formula>"S3 — minor"</formula>
    </cfRule>
  </conditionalFormatting>
  <dataValidations count="2">
    <dataValidation sqref="E7:E30" showDropDown="0" showInputMessage="0" showErrorMessage="0" allowBlank="1" promptTitle="Severity" type="list">
      <formula1>"S1 — project-threatening,S2 — major,S3 — minor"</formula1>
    </dataValidation>
    <dataValidation sqref="F7:F30" showDropDown="0" showInputMessage="0" showErrorMessage="0" allowBlank="1" promptTitle="Status" type="list">
      <formula1>"Open,In work,Resolved,Absorbed"</formula1>
    </dataValidation>
  </dataValidations>
  <pageMargins left="0.75" right="0.75" top="1" bottom="1" header="0.5" footer="0.5"/>
</worksheet>
</file>

<file path=xl/worksheets/sheet11.xml><?xml version="1.0" encoding="utf-8"?>
<worksheet xmlns="http://schemas.openxmlformats.org/spreadsheetml/2006/main">
  <sheetPr>
    <tabColor rgb="00B25309"/>
    <outlinePr summaryBelow="1" summaryRight="1"/>
    <pageSetUpPr/>
  </sheetPr>
  <dimension ref="A1:H30"/>
  <sheetViews>
    <sheetView showGridLines="0" zoomScale="100" workbookViewId="0">
      <pane ySplit="6" topLeftCell="A7" activePane="bottomLeft" state="frozen"/>
      <selection pane="bottomLeft" activeCell="A1" sqref="A1"/>
    </sheetView>
  </sheetViews>
  <sheetFormatPr baseColWidth="8" defaultRowHeight="15"/>
  <cols>
    <col width="10" customWidth="1" min="1" max="1"/>
    <col width="40" customWidth="1" min="2" max="2"/>
    <col width="22" customWidth="1" min="3" max="3"/>
    <col width="18" customWidth="1" min="4" max="4"/>
    <col width="14" customWidth="1" min="5" max="5"/>
    <col width="30" customWidth="1" min="6" max="6"/>
    <col width="22" customWidth="1" min="7" max="7"/>
    <col width="22" customWidth="1" min="8" max="8"/>
  </cols>
  <sheetData>
    <row r="1" ht="40" customHeight="1">
      <c r="A1" s="55" t="inlineStr">
        <is>
          <t>🧮  Decision Log</t>
        </is>
      </c>
      <c r="B1" s="56" t="n"/>
      <c r="C1" s="56" t="n"/>
      <c r="D1" s="56" t="n"/>
      <c r="E1" s="56" t="n"/>
      <c r="F1" s="56" t="n"/>
      <c r="G1" s="56" t="n"/>
      <c r="H1" s="56" t="n"/>
    </row>
    <row r="2" ht="22" customHeight="1">
      <c r="A2" s="57" t="inlineStr">
        <is>
          <t>Write decisions down — 'the most important improvement teams make.' Transparency is team-wide clarity of what is so.</t>
        </is>
      </c>
      <c r="B2" s="56" t="n"/>
      <c r="C2" s="56" t="n"/>
      <c r="D2" s="56" t="n"/>
      <c r="E2" s="56" t="n"/>
      <c r="F2" s="56" t="n"/>
      <c r="G2" s="56" t="n"/>
      <c r="H2" s="56" t="n"/>
    </row>
    <row r="4" ht="56" customHeight="1">
      <c r="A4" s="58" t="inlineStr">
        <is>
          <t>💡 HOW TO USE: Log every decision that shapes the project — scope calls, tradeoffs, decision-point outcomes. Decisions inside an owner's area of accountability are THEIRS to make (no 'project democracy'); the log makes the decision visible, not re-litigable. AI agents ingesting emails/transcripts append rows here (see the 🤖 AI sheets).</t>
        </is>
      </c>
      <c r="B4" s="33" t="n"/>
      <c r="C4" s="33" t="n"/>
      <c r="D4" s="33" t="n"/>
      <c r="E4" s="33" t="n"/>
      <c r="F4" s="33" t="n"/>
      <c r="G4" s="33" t="n"/>
      <c r="H4" s="33" t="n"/>
    </row>
    <row r="6" ht="30" customHeight="1">
      <c r="A6" s="59" t="inlineStr">
        <is>
          <t>Decision ID</t>
        </is>
      </c>
      <c r="B6" s="59" t="inlineStr">
        <is>
          <t>Decision (what was decided)</t>
        </is>
      </c>
      <c r="C6" s="59" t="inlineStr">
        <is>
          <t>Context / alternatives considered</t>
        </is>
      </c>
      <c r="D6" s="59" t="inlineStr">
        <is>
          <t>Decided by (accountable owner)</t>
        </is>
      </c>
      <c r="E6" s="59" t="inlineStr">
        <is>
          <t>Date</t>
        </is>
      </c>
      <c r="F6" s="59" t="inlineStr">
        <is>
          <t>Consequences (scope/schedule/cost)</t>
        </is>
      </c>
      <c r="G6" s="59" t="inlineStr">
        <is>
          <t>Communicated to</t>
        </is>
      </c>
      <c r="H6" s="59" t="inlineStr">
        <is>
          <t>Source (meeting/email/WAM ref)</t>
        </is>
      </c>
    </row>
    <row r="7" ht="24" customHeight="1">
      <c r="A7" s="37" t="n"/>
      <c r="B7" s="37" t="n"/>
      <c r="C7" s="37" t="n"/>
      <c r="D7" s="37" t="n"/>
      <c r="E7" s="37" t="n"/>
      <c r="F7" s="37" t="n"/>
      <c r="G7" s="37" t="n"/>
      <c r="H7" s="37" t="n"/>
    </row>
    <row r="8" ht="24" customHeight="1">
      <c r="A8" s="40" t="n"/>
      <c r="B8" s="40" t="n"/>
      <c r="C8" s="40" t="n"/>
      <c r="D8" s="40" t="n"/>
      <c r="E8" s="40" t="n"/>
      <c r="F8" s="40" t="n"/>
      <c r="G8" s="40" t="n"/>
      <c r="H8" s="40" t="n"/>
    </row>
    <row r="9" ht="24" customHeight="1">
      <c r="A9" s="37" t="n"/>
      <c r="B9" s="37" t="n"/>
      <c r="C9" s="37" t="n"/>
      <c r="D9" s="37" t="n"/>
      <c r="E9" s="37" t="n"/>
      <c r="F9" s="37" t="n"/>
      <c r="G9" s="37" t="n"/>
      <c r="H9" s="37" t="n"/>
    </row>
    <row r="10" ht="24" customHeight="1">
      <c r="A10" s="40" t="n"/>
      <c r="B10" s="40" t="n"/>
      <c r="C10" s="40" t="n"/>
      <c r="D10" s="40" t="n"/>
      <c r="E10" s="40" t="n"/>
      <c r="F10" s="40" t="n"/>
      <c r="G10" s="40" t="n"/>
      <c r="H10" s="40" t="n"/>
    </row>
    <row r="11" ht="24" customHeight="1">
      <c r="A11" s="37" t="n"/>
      <c r="B11" s="37" t="n"/>
      <c r="C11" s="37" t="n"/>
      <c r="D11" s="37" t="n"/>
      <c r="E11" s="37" t="n"/>
      <c r="F11" s="37" t="n"/>
      <c r="G11" s="37" t="n"/>
      <c r="H11" s="37" t="n"/>
    </row>
    <row r="12" ht="24" customHeight="1">
      <c r="A12" s="40" t="n"/>
      <c r="B12" s="40" t="n"/>
      <c r="C12" s="40" t="n"/>
      <c r="D12" s="40" t="n"/>
      <c r="E12" s="40" t="n"/>
      <c r="F12" s="40" t="n"/>
      <c r="G12" s="40" t="n"/>
      <c r="H12" s="40" t="n"/>
    </row>
    <row r="13" ht="24" customHeight="1">
      <c r="A13" s="37" t="n"/>
      <c r="B13" s="37" t="n"/>
      <c r="C13" s="37" t="n"/>
      <c r="D13" s="37" t="n"/>
      <c r="E13" s="37" t="n"/>
      <c r="F13" s="37" t="n"/>
      <c r="G13" s="37" t="n"/>
      <c r="H13" s="37" t="n"/>
    </row>
    <row r="14" ht="24" customHeight="1">
      <c r="A14" s="40" t="n"/>
      <c r="B14" s="40" t="n"/>
      <c r="C14" s="40" t="n"/>
      <c r="D14" s="40" t="n"/>
      <c r="E14" s="40" t="n"/>
      <c r="F14" s="40" t="n"/>
      <c r="G14" s="40" t="n"/>
      <c r="H14" s="40" t="n"/>
    </row>
    <row r="15" ht="24" customHeight="1">
      <c r="A15" s="37" t="n"/>
      <c r="B15" s="37" t="n"/>
      <c r="C15" s="37" t="n"/>
      <c r="D15" s="37" t="n"/>
      <c r="E15" s="37" t="n"/>
      <c r="F15" s="37" t="n"/>
      <c r="G15" s="37" t="n"/>
      <c r="H15" s="37" t="n"/>
    </row>
    <row r="16" ht="24" customHeight="1">
      <c r="A16" s="40" t="n"/>
      <c r="B16" s="40" t="n"/>
      <c r="C16" s="40" t="n"/>
      <c r="D16" s="40" t="n"/>
      <c r="E16" s="40" t="n"/>
      <c r="F16" s="40" t="n"/>
      <c r="G16" s="40" t="n"/>
      <c r="H16" s="40" t="n"/>
    </row>
    <row r="17" ht="24" customHeight="1">
      <c r="A17" s="37" t="n"/>
      <c r="B17" s="37" t="n"/>
      <c r="C17" s="37" t="n"/>
      <c r="D17" s="37" t="n"/>
      <c r="E17" s="37" t="n"/>
      <c r="F17" s="37" t="n"/>
      <c r="G17" s="37" t="n"/>
      <c r="H17" s="37" t="n"/>
    </row>
    <row r="18" ht="24" customHeight="1">
      <c r="A18" s="40" t="n"/>
      <c r="B18" s="40" t="n"/>
      <c r="C18" s="40" t="n"/>
      <c r="D18" s="40" t="n"/>
      <c r="E18" s="40" t="n"/>
      <c r="F18" s="40" t="n"/>
      <c r="G18" s="40" t="n"/>
      <c r="H18" s="40" t="n"/>
    </row>
    <row r="19" ht="24" customHeight="1">
      <c r="A19" s="37" t="n"/>
      <c r="B19" s="37" t="n"/>
      <c r="C19" s="37" t="n"/>
      <c r="D19" s="37" t="n"/>
      <c r="E19" s="37" t="n"/>
      <c r="F19" s="37" t="n"/>
      <c r="G19" s="37" t="n"/>
      <c r="H19" s="37" t="n"/>
    </row>
    <row r="20" ht="24" customHeight="1">
      <c r="A20" s="40" t="n"/>
      <c r="B20" s="40" t="n"/>
      <c r="C20" s="40" t="n"/>
      <c r="D20" s="40" t="n"/>
      <c r="E20" s="40" t="n"/>
      <c r="F20" s="40" t="n"/>
      <c r="G20" s="40" t="n"/>
      <c r="H20" s="40" t="n"/>
    </row>
    <row r="21" ht="24" customHeight="1">
      <c r="A21" s="37" t="n"/>
      <c r="B21" s="37" t="n"/>
      <c r="C21" s="37" t="n"/>
      <c r="D21" s="37" t="n"/>
      <c r="E21" s="37" t="n"/>
      <c r="F21" s="37" t="n"/>
      <c r="G21" s="37" t="n"/>
      <c r="H21" s="37" t="n"/>
    </row>
    <row r="22" ht="24" customHeight="1">
      <c r="A22" s="40" t="n"/>
      <c r="B22" s="40" t="n"/>
      <c r="C22" s="40" t="n"/>
      <c r="D22" s="40" t="n"/>
      <c r="E22" s="40" t="n"/>
      <c r="F22" s="40" t="n"/>
      <c r="G22" s="40" t="n"/>
      <c r="H22" s="40" t="n"/>
    </row>
    <row r="23" ht="24" customHeight="1">
      <c r="A23" s="37" t="n"/>
      <c r="B23" s="37" t="n"/>
      <c r="C23" s="37" t="n"/>
      <c r="D23" s="37" t="n"/>
      <c r="E23" s="37" t="n"/>
      <c r="F23" s="37" t="n"/>
      <c r="G23" s="37" t="n"/>
      <c r="H23" s="37" t="n"/>
    </row>
    <row r="24" ht="24" customHeight="1">
      <c r="A24" s="40" t="n"/>
      <c r="B24" s="40" t="n"/>
      <c r="C24" s="40" t="n"/>
      <c r="D24" s="40" t="n"/>
      <c r="E24" s="40" t="n"/>
      <c r="F24" s="40" t="n"/>
      <c r="G24" s="40" t="n"/>
      <c r="H24" s="40" t="n"/>
    </row>
    <row r="25" ht="24" customHeight="1">
      <c r="A25" s="37" t="n"/>
      <c r="B25" s="37" t="n"/>
      <c r="C25" s="37" t="n"/>
      <c r="D25" s="37" t="n"/>
      <c r="E25" s="37" t="n"/>
      <c r="F25" s="37" t="n"/>
      <c r="G25" s="37" t="n"/>
      <c r="H25" s="37" t="n"/>
    </row>
    <row r="26" ht="24" customHeight="1">
      <c r="A26" s="40" t="n"/>
      <c r="B26" s="40" t="n"/>
      <c r="C26" s="40" t="n"/>
      <c r="D26" s="40" t="n"/>
      <c r="E26" s="40" t="n"/>
      <c r="F26" s="40" t="n"/>
      <c r="G26" s="40" t="n"/>
      <c r="H26" s="40" t="n"/>
    </row>
    <row r="27" ht="24" customHeight="1">
      <c r="A27" s="37" t="n"/>
      <c r="B27" s="37" t="n"/>
      <c r="C27" s="37" t="n"/>
      <c r="D27" s="37" t="n"/>
      <c r="E27" s="37" t="n"/>
      <c r="F27" s="37" t="n"/>
      <c r="G27" s="37" t="n"/>
      <c r="H27" s="37" t="n"/>
    </row>
    <row r="28" ht="24" customHeight="1">
      <c r="A28" s="40" t="n"/>
      <c r="B28" s="40" t="n"/>
      <c r="C28" s="40" t="n"/>
      <c r="D28" s="40" t="n"/>
      <c r="E28" s="40" t="n"/>
      <c r="F28" s="40" t="n"/>
      <c r="G28" s="40" t="n"/>
      <c r="H28" s="40" t="n"/>
    </row>
    <row r="29" ht="24" customHeight="1">
      <c r="A29" s="37" t="n"/>
      <c r="B29" s="37" t="n"/>
      <c r="C29" s="37" t="n"/>
      <c r="D29" s="37" t="n"/>
      <c r="E29" s="37" t="n"/>
      <c r="F29" s="37" t="n"/>
      <c r="G29" s="37" t="n"/>
      <c r="H29" s="37" t="n"/>
    </row>
    <row r="30" ht="24" customHeight="1">
      <c r="A30" s="40" t="n"/>
      <c r="B30" s="40" t="n"/>
      <c r="C30" s="40" t="n"/>
      <c r="D30" s="40" t="n"/>
      <c r="E30" s="40" t="n"/>
      <c r="F30" s="40" t="n"/>
      <c r="G30" s="40" t="n"/>
      <c r="H30" s="40" t="n"/>
    </row>
  </sheetData>
  <mergeCells count="3">
    <mergeCell ref="A4:H4"/>
    <mergeCell ref="A2:H2"/>
    <mergeCell ref="A1:H1"/>
  </mergeCells>
  <pageMargins left="0.75" right="0.75" top="1" bottom="1" header="0.5" footer="0.5"/>
</worksheet>
</file>

<file path=xl/worksheets/sheet12.xml><?xml version="1.0" encoding="utf-8"?>
<worksheet xmlns="http://schemas.openxmlformats.org/spreadsheetml/2006/main">
  <sheetPr>
    <tabColor rgb="00B25309"/>
    <outlinePr summaryBelow="1" summaryRight="1"/>
    <pageSetUpPr/>
  </sheetPr>
  <dimension ref="A1:G30"/>
  <sheetViews>
    <sheetView showGridLines="0" zoomScale="100" workbookViewId="0">
      <selection activeCell="A1" sqref="A1"/>
    </sheetView>
  </sheetViews>
  <sheetFormatPr baseColWidth="8" defaultRowHeight="15"/>
  <cols>
    <col width="34" customWidth="1" min="1" max="1"/>
    <col width="20" customWidth="1" min="2" max="2"/>
    <col width="16" customWidth="1" min="3" max="3"/>
    <col width="16" customWidth="1" min="4" max="4"/>
    <col width="16" customWidth="1" min="5" max="5"/>
    <col width="16" customWidth="1" min="6" max="6"/>
    <col width="40" customWidth="1" min="7" max="7"/>
  </cols>
  <sheetData>
    <row r="1" ht="40" customHeight="1">
      <c r="A1" s="55" t="inlineStr">
        <is>
          <t>💸  Cost of Being Late</t>
        </is>
      </c>
      <c r="B1" s="56" t="n"/>
      <c r="C1" s="56" t="n"/>
      <c r="D1" s="56" t="n"/>
      <c r="E1" s="56" t="n"/>
      <c r="F1" s="56" t="n"/>
      <c r="G1" s="56" t="n"/>
    </row>
    <row r="2" ht="22" customHeight="1">
      <c r="A2" s="57" t="inlineStr">
        <is>
          <t>Not a single number — a narrative of factors and costs. The compelling story that gives the team the incentive to hit their dates.</t>
        </is>
      </c>
      <c r="B2" s="56" t="n"/>
      <c r="C2" s="56" t="n"/>
      <c r="D2" s="56" t="n"/>
      <c r="E2" s="56" t="n"/>
      <c r="F2" s="56" t="n"/>
      <c r="G2" s="56" t="n"/>
    </row>
    <row r="4" ht="42" customHeight="1">
      <c r="A4" s="58" t="inlineStr">
        <is>
          <t>💡 HOW TO USE: The whole cross-functional team must consider, articulate, discuss and AGREE on this. It prices the team's urgency and creates the context for mitigation spending ('the test machines cost less than one day of lateness'). Revisit whenever scope or market timing changes.</t>
        </is>
      </c>
      <c r="B4" s="33" t="n"/>
      <c r="C4" s="33" t="n"/>
      <c r="D4" s="33" t="n"/>
      <c r="E4" s="33" t="n"/>
      <c r="F4" s="33" t="n"/>
      <c r="G4" s="33" t="n"/>
    </row>
    <row r="6" ht="24" customHeight="1">
      <c r="A6" s="66" t="inlineStr">
        <is>
          <t>📈  Linear costs — accumulate per week late</t>
        </is>
      </c>
      <c r="B6" s="56" t="n"/>
      <c r="C6" s="56" t="n"/>
      <c r="D6" s="56" t="n"/>
      <c r="E6" s="56" t="n"/>
      <c r="F6" s="56" t="n"/>
      <c r="G6" s="56" t="n"/>
    </row>
    <row r="7" ht="30" customHeight="1">
      <c r="A7" s="59" t="inlineStr">
        <is>
          <t>Factor</t>
        </is>
      </c>
      <c r="B7" s="59" t="inlineStr">
        <is>
          <t>Basis / evidence</t>
        </is>
      </c>
      <c r="C7" s="59" t="inlineStr">
        <is>
          <t>Cost per week</t>
        </is>
      </c>
      <c r="D7" s="59" t="inlineStr">
        <is>
          <t>Currency</t>
        </is>
      </c>
      <c r="E7" s="59" t="inlineStr">
        <is>
          <t>Confidence</t>
        </is>
      </c>
      <c r="F7" s="59" t="inlineStr">
        <is>
          <t>Agreed by team?</t>
        </is>
      </c>
      <c r="G7" s="59" t="inlineStr">
        <is>
          <t>Narrative</t>
        </is>
      </c>
    </row>
    <row r="8" ht="24" customHeight="1">
      <c r="A8" s="7" t="inlineStr">
        <is>
          <t>Lost profit / revenue</t>
        </is>
      </c>
      <c r="B8" s="7" t="inlineStr"/>
      <c r="C8" s="7" t="inlineStr"/>
      <c r="D8" s="7" t="inlineStr"/>
      <c r="E8" s="7" t="inlineStr"/>
      <c r="F8" s="7" t="inlineStr"/>
      <c r="G8" s="7" t="inlineStr"/>
    </row>
    <row r="9" ht="24" customHeight="1">
      <c r="A9" s="7" t="inlineStr">
        <is>
          <t>Delayed cost savings</t>
        </is>
      </c>
      <c r="B9" s="7" t="inlineStr"/>
      <c r="C9" s="7" t="inlineStr"/>
      <c r="D9" s="7" t="inlineStr"/>
      <c r="E9" s="7" t="inlineStr"/>
      <c r="F9" s="7" t="inlineStr"/>
      <c r="G9" s="7" t="inlineStr"/>
    </row>
    <row r="10" ht="24" customHeight="1">
      <c r="A10" s="7" t="inlineStr">
        <is>
          <t>Additional project expense (team burn)</t>
        </is>
      </c>
      <c r="B10" s="7" t="inlineStr"/>
      <c r="C10" s="7" t="inlineStr"/>
      <c r="D10" s="7" t="inlineStr"/>
      <c r="E10" s="7" t="inlineStr"/>
      <c r="F10" s="7" t="inlineStr"/>
      <c r="G10" s="7" t="inlineStr"/>
    </row>
    <row r="11" ht="24" customHeight="1">
      <c r="A11" s="7" t="inlineStr"/>
      <c r="B11" s="7" t="inlineStr"/>
      <c r="C11" s="7" t="inlineStr"/>
      <c r="D11" s="7" t="inlineStr"/>
      <c r="E11" s="7" t="inlineStr"/>
      <c r="F11" s="7" t="inlineStr"/>
      <c r="G11" s="7" t="inlineStr"/>
    </row>
    <row r="12" ht="24" customHeight="1">
      <c r="A12" s="7" t="inlineStr"/>
      <c r="B12" s="7" t="inlineStr"/>
      <c r="C12" s="7" t="inlineStr"/>
      <c r="D12" s="7" t="inlineStr"/>
      <c r="E12" s="7" t="inlineStr"/>
      <c r="F12" s="7" t="inlineStr"/>
      <c r="G12" s="7" t="inlineStr"/>
    </row>
    <row r="13">
      <c r="A13" s="67" t="inlineStr">
        <is>
          <t>TOTAL LINEAR COST PER WEEK LATE</t>
        </is>
      </c>
      <c r="B13" s="68" t="n"/>
      <c r="C13" s="69">
        <f>SUM(C8:C12)</f>
        <v/>
      </c>
      <c r="D13" s="68" t="n"/>
      <c r="E13" s="68" t="n"/>
      <c r="F13" s="68" t="n"/>
      <c r="G13" s="68" t="n"/>
    </row>
    <row r="15" ht="24" customHeight="1">
      <c r="A15" s="66" t="inlineStr">
        <is>
          <t>⛰  Nonlinear costs — step-function consequences</t>
        </is>
      </c>
      <c r="B15" s="56" t="n"/>
      <c r="C15" s="56" t="n"/>
      <c r="D15" s="56" t="n"/>
      <c r="E15" s="56" t="n"/>
      <c r="F15" s="56" t="n"/>
      <c r="G15" s="56" t="n"/>
    </row>
    <row r="16" ht="30" customHeight="1">
      <c r="A16" s="59" t="inlineStr">
        <is>
          <t>Factor</t>
        </is>
      </c>
      <c r="B16" s="59" t="inlineStr">
        <is>
          <t>Trigger (how late / what event)</t>
        </is>
      </c>
      <c r="C16" s="59" t="inlineStr">
        <is>
          <t>Estimated cost</t>
        </is>
      </c>
      <c r="D16" s="59" t="inlineStr">
        <is>
          <t>Currency</t>
        </is>
      </c>
      <c r="E16" s="59" t="inlineStr">
        <is>
          <t>Likelihood</t>
        </is>
      </c>
      <c r="F16" s="59" t="inlineStr">
        <is>
          <t>Agreed by team?</t>
        </is>
      </c>
      <c r="G16" s="59" t="inlineStr">
        <is>
          <t>Narrative</t>
        </is>
      </c>
    </row>
    <row r="17" ht="24" customHeight="1">
      <c r="A17" s="7" t="inlineStr">
        <is>
          <t>Breach of contract / penalties</t>
        </is>
      </c>
      <c r="B17" s="7" t="inlineStr"/>
      <c r="C17" s="7" t="inlineStr"/>
      <c r="D17" s="7" t="inlineStr"/>
      <c r="E17" s="7" t="inlineStr"/>
      <c r="F17" s="7" t="inlineStr"/>
      <c r="G17" s="7" t="inlineStr"/>
    </row>
    <row r="18" ht="24" customHeight="1">
      <c r="A18" s="7" t="inlineStr">
        <is>
          <t>Lost market share / market window</t>
        </is>
      </c>
      <c r="B18" s="7" t="inlineStr"/>
      <c r="C18" s="7" t="inlineStr"/>
      <c r="D18" s="7" t="inlineStr"/>
      <c r="E18" s="7" t="inlineStr"/>
      <c r="F18" s="7" t="inlineStr"/>
      <c r="G18" s="7" t="inlineStr"/>
    </row>
    <row r="19" ht="24" customHeight="1">
      <c r="A19" s="7" t="inlineStr">
        <is>
          <t>Failure of dependent business processes</t>
        </is>
      </c>
      <c r="B19" s="7" t="inlineStr"/>
      <c r="C19" s="7" t="inlineStr"/>
      <c r="D19" s="7" t="inlineStr"/>
      <c r="E19" s="7" t="inlineStr"/>
      <c r="F19" s="7" t="inlineStr"/>
      <c r="G19" s="7" t="inlineStr"/>
    </row>
    <row r="20" ht="24" customHeight="1">
      <c r="A20" s="7" t="inlineStr">
        <is>
          <t>Damage to customer relationships</t>
        </is>
      </c>
      <c r="B20" s="7" t="inlineStr"/>
      <c r="C20" s="7" t="inlineStr"/>
      <c r="D20" s="7" t="inlineStr"/>
      <c r="E20" s="7" t="inlineStr"/>
      <c r="F20" s="7" t="inlineStr"/>
      <c r="G20" s="7" t="inlineStr"/>
    </row>
    <row r="21" ht="24" customHeight="1">
      <c r="A21" s="7" t="inlineStr">
        <is>
          <t>Impact on valuation / funding</t>
        </is>
      </c>
      <c r="B21" s="7" t="inlineStr"/>
      <c r="C21" s="7" t="inlineStr"/>
      <c r="D21" s="7" t="inlineStr"/>
      <c r="E21" s="7" t="inlineStr"/>
      <c r="F21" s="7" t="inlineStr"/>
      <c r="G21" s="7" t="inlineStr"/>
    </row>
    <row r="22" ht="24" customHeight="1">
      <c r="A22" s="7" t="inlineStr"/>
      <c r="B22" s="7" t="inlineStr"/>
      <c r="C22" s="7" t="inlineStr"/>
      <c r="D22" s="7" t="inlineStr"/>
      <c r="E22" s="7" t="inlineStr"/>
      <c r="F22" s="7" t="inlineStr"/>
      <c r="G22" s="7" t="inlineStr"/>
    </row>
    <row r="24" ht="24" customHeight="1">
      <c r="A24" s="66" t="inlineStr">
        <is>
          <t>📖  The narrative — tell the story</t>
        </is>
      </c>
      <c r="B24" s="56" t="n"/>
      <c r="C24" s="56" t="n"/>
      <c r="D24" s="56" t="n"/>
      <c r="E24" s="56" t="n"/>
      <c r="F24" s="56" t="n"/>
      <c r="G24" s="56" t="n"/>
    </row>
    <row r="25" ht="28" customHeight="1">
      <c r="A25" s="58" t="inlineStr">
        <is>
          <t>💡 Write 3–6 sentences the whole team agrees on: what happens to customers, the market, and the company for each month of lateness. This is what a team member reads before deciding whether to ask for that extra test rig.</t>
        </is>
      </c>
      <c r="B25" s="33" t="n"/>
      <c r="C25" s="33" t="n"/>
      <c r="D25" s="33" t="n"/>
      <c r="E25" s="33" t="n"/>
      <c r="F25" s="33" t="n"/>
      <c r="G25" s="33" t="n"/>
    </row>
    <row r="26" ht="26" customHeight="1">
      <c r="A26" s="37" t="n"/>
      <c r="B26" s="38" t="n"/>
      <c r="C26" s="38" t="n"/>
      <c r="D26" s="38" t="n"/>
      <c r="E26" s="38" t="n"/>
      <c r="F26" s="38" t="n"/>
      <c r="G26" s="39" t="n"/>
    </row>
    <row r="27" ht="26" customHeight="1">
      <c r="A27" s="37" t="n"/>
      <c r="B27" s="38" t="n"/>
      <c r="C27" s="38" t="n"/>
      <c r="D27" s="38" t="n"/>
      <c r="E27" s="38" t="n"/>
      <c r="F27" s="38" t="n"/>
      <c r="G27" s="39" t="n"/>
    </row>
    <row r="28" ht="26" customHeight="1">
      <c r="A28" s="37" t="n"/>
      <c r="B28" s="38" t="n"/>
      <c r="C28" s="38" t="n"/>
      <c r="D28" s="38" t="n"/>
      <c r="E28" s="38" t="n"/>
      <c r="F28" s="38" t="n"/>
      <c r="G28" s="39" t="n"/>
    </row>
    <row r="29" ht="26" customHeight="1">
      <c r="A29" s="37" t="n"/>
      <c r="B29" s="38" t="n"/>
      <c r="C29" s="38" t="n"/>
      <c r="D29" s="38" t="n"/>
      <c r="E29" s="38" t="n"/>
      <c r="F29" s="38" t="n"/>
      <c r="G29" s="39" t="n"/>
    </row>
    <row r="30" ht="26" customHeight="1">
      <c r="A30" s="37" t="n"/>
      <c r="B30" s="38" t="n"/>
      <c r="C30" s="38" t="n"/>
      <c r="D30" s="38" t="n"/>
      <c r="E30" s="38" t="n"/>
      <c r="F30" s="38" t="n"/>
      <c r="G30" s="39" t="n"/>
    </row>
  </sheetData>
  <mergeCells count="12">
    <mergeCell ref="A1:G1"/>
    <mergeCell ref="A27:G27"/>
    <mergeCell ref="A6:G6"/>
    <mergeCell ref="A4:G4"/>
    <mergeCell ref="A26:G26"/>
    <mergeCell ref="A24:G24"/>
    <mergeCell ref="A2:G2"/>
    <mergeCell ref="A30:G30"/>
    <mergeCell ref="A15:G15"/>
    <mergeCell ref="A29:G29"/>
    <mergeCell ref="A25:G25"/>
    <mergeCell ref="A28:G28"/>
  </mergeCells>
  <conditionalFormatting sqref="F8:F22">
    <cfRule type="cellIs" priority="1" operator="equal" dxfId="2">
      <formula>"Yes"</formula>
    </cfRule>
    <cfRule type="cellIs" priority="2" operator="equal" dxfId="3">
      <formula>"Not yet"</formula>
    </cfRule>
  </conditionalFormatting>
  <dataValidations count="3">
    <dataValidation sqref="E8:E12" showDropDown="0" showInputMessage="0" showErrorMessage="0" allowBlank="1" promptTitle="Confidence" type="list">
      <formula1>"High,Medium,Low"</formula1>
    </dataValidation>
    <dataValidation sqref="E17:E22" showDropDown="0" showInputMessage="0" showErrorMessage="0" allowBlank="1" promptTitle="Likelihood" type="list">
      <formula1>"High,Medium,Low"</formula1>
    </dataValidation>
    <dataValidation sqref="F8:F22" showDropDown="0" showInputMessage="0" showErrorMessage="0" allowBlank="1" promptTitle="Team agreement" type="list">
      <formula1>"Yes,Not yet"</formula1>
    </dataValidation>
  </dataValidations>
  <pageMargins left="0.75" right="0.75" top="1" bottom="1" header="0.5" footer="0.5"/>
</worksheet>
</file>

<file path=xl/worksheets/sheet13.xml><?xml version="1.0" encoding="utf-8"?>
<worksheet xmlns="http://schemas.openxmlformats.org/spreadsheetml/2006/main">
  <sheetPr>
    <tabColor rgb="000E7C66"/>
    <outlinePr summaryBelow="1" summaryRight="1"/>
    <pageSetUpPr/>
  </sheetPr>
  <dimension ref="A1:J28"/>
  <sheetViews>
    <sheetView showGridLines="0" zoomScale="100" workbookViewId="0">
      <pane xSplit="1" ySplit="6" topLeftCell="B7"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40" customHeight="1">
      <c r="A1" s="43" t="inlineStr">
        <is>
          <t>🗂  Accountability Matrix</t>
        </is>
      </c>
      <c r="B1" s="44" t="n"/>
      <c r="C1" s="44" t="n"/>
      <c r="D1" s="44" t="n"/>
      <c r="E1" s="44" t="n"/>
      <c r="F1" s="44" t="n"/>
      <c r="G1" s="44" t="n"/>
      <c r="H1" s="44" t="n"/>
      <c r="I1" s="44" t="n"/>
      <c r="J1" s="44" t="n"/>
    </row>
    <row r="2" ht="22" customHeight="1">
      <c r="A2" s="45" t="inlineStr">
        <is>
          <t>Deliverables &amp; areas × named owners. Review to find GAPS (no owner) and COLLISIONS (two owners). Both are risks.</t>
        </is>
      </c>
      <c r="B2" s="44" t="n"/>
      <c r="C2" s="44" t="n"/>
      <c r="D2" s="44" t="n"/>
      <c r="E2" s="44" t="n"/>
      <c r="F2" s="44" t="n"/>
      <c r="G2" s="44" t="n"/>
      <c r="H2" s="44" t="n"/>
      <c r="I2" s="44" t="n"/>
      <c r="J2" s="44" t="n"/>
    </row>
    <row r="4" ht="42" customHeight="1">
      <c r="A4" s="46" t="inlineStr">
        <is>
          <t>💡 HOW TO USE: List deliverables/areas down the left; write team member NAMES across the top; put exactly one '●' per row under the single accountable owner (add '○' for contributors if useful — but only ● carries accountability). A row with zero ● is a gap; a row with two ● is a collision. Send both to the ⚠️ RAP.</t>
        </is>
      </c>
      <c r="B4" s="33" t="n"/>
      <c r="C4" s="33" t="n"/>
      <c r="D4" s="33" t="n"/>
      <c r="E4" s="33" t="n"/>
      <c r="F4" s="33" t="n"/>
      <c r="G4" s="33" t="n"/>
      <c r="H4" s="33" t="n"/>
      <c r="I4" s="33" t="n"/>
      <c r="J4" s="33" t="n"/>
    </row>
    <row r="6" ht="30" customHeight="1">
      <c r="A6" s="47" t="inlineStr">
        <is>
          <t>Deliverable / Area of accountability</t>
        </is>
      </c>
      <c r="B6" s="47" t="inlineStr">
        <is>
          <t>Name 1</t>
        </is>
      </c>
      <c r="C6" s="47" t="inlineStr">
        <is>
          <t>Name 2</t>
        </is>
      </c>
      <c r="D6" s="47" t="inlineStr">
        <is>
          <t>Name 3</t>
        </is>
      </c>
      <c r="E6" s="47" t="inlineStr">
        <is>
          <t>Name 4</t>
        </is>
      </c>
      <c r="F6" s="47" t="inlineStr">
        <is>
          <t>Name 5</t>
        </is>
      </c>
      <c r="G6" s="47" t="inlineStr">
        <is>
          <t>Name 6</t>
        </is>
      </c>
      <c r="H6" s="47" t="inlineStr">
        <is>
          <t>Name 7</t>
        </is>
      </c>
      <c r="I6" s="47" t="inlineStr">
        <is>
          <t>Name 8</t>
        </is>
      </c>
      <c r="J6" s="47" t="inlineStr">
        <is>
          <t>Name 9</t>
        </is>
      </c>
    </row>
    <row r="7" ht="22" customHeight="1">
      <c r="A7" s="37" t="n"/>
      <c r="B7" s="37" t="n"/>
      <c r="C7" s="37" t="n"/>
      <c r="D7" s="37" t="n"/>
      <c r="E7" s="37" t="n"/>
      <c r="F7" s="37" t="n"/>
      <c r="G7" s="37" t="n"/>
      <c r="H7" s="37" t="n"/>
      <c r="I7" s="37" t="n"/>
      <c r="J7" s="37" t="n"/>
    </row>
    <row r="8" ht="22" customHeight="1">
      <c r="A8" s="40" t="n"/>
      <c r="B8" s="40" t="n"/>
      <c r="C8" s="40" t="n"/>
      <c r="D8" s="40" t="n"/>
      <c r="E8" s="40" t="n"/>
      <c r="F8" s="40" t="n"/>
      <c r="G8" s="40" t="n"/>
      <c r="H8" s="40" t="n"/>
      <c r="I8" s="40" t="n"/>
      <c r="J8" s="40" t="n"/>
    </row>
    <row r="9" ht="22" customHeight="1">
      <c r="A9" s="37" t="n"/>
      <c r="B9" s="37" t="n"/>
      <c r="C9" s="37" t="n"/>
      <c r="D9" s="37" t="n"/>
      <c r="E9" s="37" t="n"/>
      <c r="F9" s="37" t="n"/>
      <c r="G9" s="37" t="n"/>
      <c r="H9" s="37" t="n"/>
      <c r="I9" s="37" t="n"/>
      <c r="J9" s="37" t="n"/>
    </row>
    <row r="10" ht="22" customHeight="1">
      <c r="A10" s="40" t="n"/>
      <c r="B10" s="40" t="n"/>
      <c r="C10" s="40" t="n"/>
      <c r="D10" s="40" t="n"/>
      <c r="E10" s="40" t="n"/>
      <c r="F10" s="40" t="n"/>
      <c r="G10" s="40" t="n"/>
      <c r="H10" s="40" t="n"/>
      <c r="I10" s="40" t="n"/>
      <c r="J10" s="40" t="n"/>
    </row>
    <row r="11" ht="22" customHeight="1">
      <c r="A11" s="37" t="n"/>
      <c r="B11" s="37" t="n"/>
      <c r="C11" s="37" t="n"/>
      <c r="D11" s="37" t="n"/>
      <c r="E11" s="37" t="n"/>
      <c r="F11" s="37" t="n"/>
      <c r="G11" s="37" t="n"/>
      <c r="H11" s="37" t="n"/>
      <c r="I11" s="37" t="n"/>
      <c r="J11" s="37" t="n"/>
    </row>
    <row r="12" ht="22" customHeight="1">
      <c r="A12" s="40" t="n"/>
      <c r="B12" s="40" t="n"/>
      <c r="C12" s="40" t="n"/>
      <c r="D12" s="40" t="n"/>
      <c r="E12" s="40" t="n"/>
      <c r="F12" s="40" t="n"/>
      <c r="G12" s="40" t="n"/>
      <c r="H12" s="40" t="n"/>
      <c r="I12" s="40" t="n"/>
      <c r="J12" s="40" t="n"/>
    </row>
    <row r="13" ht="22" customHeight="1">
      <c r="A13" s="37" t="n"/>
      <c r="B13" s="37" t="n"/>
      <c r="C13" s="37" t="n"/>
      <c r="D13" s="37" t="n"/>
      <c r="E13" s="37" t="n"/>
      <c r="F13" s="37" t="n"/>
      <c r="G13" s="37" t="n"/>
      <c r="H13" s="37" t="n"/>
      <c r="I13" s="37" t="n"/>
      <c r="J13" s="37" t="n"/>
    </row>
    <row r="14" ht="22" customHeight="1">
      <c r="A14" s="40" t="n"/>
      <c r="B14" s="40" t="n"/>
      <c r="C14" s="40" t="n"/>
      <c r="D14" s="40" t="n"/>
      <c r="E14" s="40" t="n"/>
      <c r="F14" s="40" t="n"/>
      <c r="G14" s="40" t="n"/>
      <c r="H14" s="40" t="n"/>
      <c r="I14" s="40" t="n"/>
      <c r="J14" s="40" t="n"/>
    </row>
    <row r="15" ht="22" customHeight="1">
      <c r="A15" s="37" t="n"/>
      <c r="B15" s="37" t="n"/>
      <c r="C15" s="37" t="n"/>
      <c r="D15" s="37" t="n"/>
      <c r="E15" s="37" t="n"/>
      <c r="F15" s="37" t="n"/>
      <c r="G15" s="37" t="n"/>
      <c r="H15" s="37" t="n"/>
      <c r="I15" s="37" t="n"/>
      <c r="J15" s="37" t="n"/>
    </row>
    <row r="16" ht="22" customHeight="1">
      <c r="A16" s="40" t="n"/>
      <c r="B16" s="40" t="n"/>
      <c r="C16" s="40" t="n"/>
      <c r="D16" s="40" t="n"/>
      <c r="E16" s="40" t="n"/>
      <c r="F16" s="40" t="n"/>
      <c r="G16" s="40" t="n"/>
      <c r="H16" s="40" t="n"/>
      <c r="I16" s="40" t="n"/>
      <c r="J16" s="40" t="n"/>
    </row>
    <row r="17" ht="22" customHeight="1">
      <c r="A17" s="37" t="n"/>
      <c r="B17" s="37" t="n"/>
      <c r="C17" s="37" t="n"/>
      <c r="D17" s="37" t="n"/>
      <c r="E17" s="37" t="n"/>
      <c r="F17" s="37" t="n"/>
      <c r="G17" s="37" t="n"/>
      <c r="H17" s="37" t="n"/>
      <c r="I17" s="37" t="n"/>
      <c r="J17" s="37" t="n"/>
    </row>
    <row r="18" ht="22" customHeight="1">
      <c r="A18" s="40" t="n"/>
      <c r="B18" s="40" t="n"/>
      <c r="C18" s="40" t="n"/>
      <c r="D18" s="40" t="n"/>
      <c r="E18" s="40" t="n"/>
      <c r="F18" s="40" t="n"/>
      <c r="G18" s="40" t="n"/>
      <c r="H18" s="40" t="n"/>
      <c r="I18" s="40" t="n"/>
      <c r="J18" s="40" t="n"/>
    </row>
    <row r="19" ht="22" customHeight="1">
      <c r="A19" s="37" t="n"/>
      <c r="B19" s="37" t="n"/>
      <c r="C19" s="37" t="n"/>
      <c r="D19" s="37" t="n"/>
      <c r="E19" s="37" t="n"/>
      <c r="F19" s="37" t="n"/>
      <c r="G19" s="37" t="n"/>
      <c r="H19" s="37" t="n"/>
      <c r="I19" s="37" t="n"/>
      <c r="J19" s="37" t="n"/>
    </row>
    <row r="20" ht="22" customHeight="1">
      <c r="A20" s="40" t="n"/>
      <c r="B20" s="40" t="n"/>
      <c r="C20" s="40" t="n"/>
      <c r="D20" s="40" t="n"/>
      <c r="E20" s="40" t="n"/>
      <c r="F20" s="40" t="n"/>
      <c r="G20" s="40" t="n"/>
      <c r="H20" s="40" t="n"/>
      <c r="I20" s="40" t="n"/>
      <c r="J20" s="40" t="n"/>
    </row>
    <row r="21" ht="22" customHeight="1">
      <c r="A21" s="37" t="n"/>
      <c r="B21" s="37" t="n"/>
      <c r="C21" s="37" t="n"/>
      <c r="D21" s="37" t="n"/>
      <c r="E21" s="37" t="n"/>
      <c r="F21" s="37" t="n"/>
      <c r="G21" s="37" t="n"/>
      <c r="H21" s="37" t="n"/>
      <c r="I21" s="37" t="n"/>
      <c r="J21" s="37" t="n"/>
    </row>
    <row r="22" ht="22" customHeight="1">
      <c r="A22" s="40" t="n"/>
      <c r="B22" s="40" t="n"/>
      <c r="C22" s="40" t="n"/>
      <c r="D22" s="40" t="n"/>
      <c r="E22" s="40" t="n"/>
      <c r="F22" s="40" t="n"/>
      <c r="G22" s="40" t="n"/>
      <c r="H22" s="40" t="n"/>
      <c r="I22" s="40" t="n"/>
      <c r="J22" s="40" t="n"/>
    </row>
    <row r="23" ht="22" customHeight="1">
      <c r="A23" s="37" t="n"/>
      <c r="B23" s="37" t="n"/>
      <c r="C23" s="37" t="n"/>
      <c r="D23" s="37" t="n"/>
      <c r="E23" s="37" t="n"/>
      <c r="F23" s="37" t="n"/>
      <c r="G23" s="37" t="n"/>
      <c r="H23" s="37" t="n"/>
      <c r="I23" s="37" t="n"/>
      <c r="J23" s="37" t="n"/>
    </row>
    <row r="24" ht="22" customHeight="1">
      <c r="A24" s="40" t="n"/>
      <c r="B24" s="40" t="n"/>
      <c r="C24" s="40" t="n"/>
      <c r="D24" s="40" t="n"/>
      <c r="E24" s="40" t="n"/>
      <c r="F24" s="40" t="n"/>
      <c r="G24" s="40" t="n"/>
      <c r="H24" s="40" t="n"/>
      <c r="I24" s="40" t="n"/>
      <c r="J24" s="40" t="n"/>
    </row>
    <row r="25" ht="22" customHeight="1">
      <c r="A25" s="37" t="n"/>
      <c r="B25" s="37" t="n"/>
      <c r="C25" s="37" t="n"/>
      <c r="D25" s="37" t="n"/>
      <c r="E25" s="37" t="n"/>
      <c r="F25" s="37" t="n"/>
      <c r="G25" s="37" t="n"/>
      <c r="H25" s="37" t="n"/>
      <c r="I25" s="37" t="n"/>
      <c r="J25" s="37" t="n"/>
    </row>
    <row r="26" ht="22" customHeight="1">
      <c r="A26" s="40" t="n"/>
      <c r="B26" s="40" t="n"/>
      <c r="C26" s="40" t="n"/>
      <c r="D26" s="40" t="n"/>
      <c r="E26" s="40" t="n"/>
      <c r="F26" s="40" t="n"/>
      <c r="G26" s="40" t="n"/>
      <c r="H26" s="40" t="n"/>
      <c r="I26" s="40" t="n"/>
      <c r="J26" s="40" t="n"/>
    </row>
    <row r="27" ht="22" customHeight="1">
      <c r="A27" s="37" t="n"/>
      <c r="B27" s="37" t="n"/>
      <c r="C27" s="37" t="n"/>
      <c r="D27" s="37" t="n"/>
      <c r="E27" s="37" t="n"/>
      <c r="F27" s="37" t="n"/>
      <c r="G27" s="37" t="n"/>
      <c r="H27" s="37" t="n"/>
      <c r="I27" s="37" t="n"/>
      <c r="J27" s="37" t="n"/>
    </row>
    <row r="28" ht="22" customHeight="1">
      <c r="A28" s="40" t="n"/>
      <c r="B28" s="40" t="n"/>
      <c r="C28" s="40" t="n"/>
      <c r="D28" s="40" t="n"/>
      <c r="E28" s="40" t="n"/>
      <c r="F28" s="40" t="n"/>
      <c r="G28" s="40" t="n"/>
      <c r="H28" s="40" t="n"/>
      <c r="I28" s="40" t="n"/>
      <c r="J28" s="40" t="n"/>
    </row>
  </sheetData>
  <mergeCells count="3">
    <mergeCell ref="A1:J1"/>
    <mergeCell ref="A4:J4"/>
    <mergeCell ref="A2:J2"/>
  </mergeCells>
  <conditionalFormatting sqref="B7:J28">
    <cfRule type="cellIs" priority="1" operator="equal" dxfId="10">
      <formula>"●"</formula>
    </cfRule>
    <cfRule type="cellIs" priority="2" operator="equal" dxfId="11">
      <formula>"○"</formula>
    </cfRule>
  </conditionalFormatting>
  <dataValidations count="1">
    <dataValidation sqref="B7:J28" showDropDown="0" showInputMessage="0" showErrorMessage="0" allowBlank="1" promptTitle="● owner / ○ contributor" type="list">
      <formula1>"●,○"</formula1>
    </dataValidation>
  </dataValidations>
  <pageMargins left="0.75" right="0.75" top="1" bottom="1" header="0.5" footer="0.5"/>
</worksheet>
</file>

<file path=xl/worksheets/sheet14.xml><?xml version="1.0" encoding="utf-8"?>
<worksheet xmlns="http://schemas.openxmlformats.org/spreadsheetml/2006/main">
  <sheetPr>
    <tabColor rgb="00B8860B"/>
    <outlinePr summaryBelow="1" summaryRight="1"/>
    <pageSetUpPr/>
  </sheetPr>
  <dimension ref="A1:E34"/>
  <sheetViews>
    <sheetView showGridLines="0" zoomScale="100" workbookViewId="0">
      <selection activeCell="A1" sqref="A1"/>
    </sheetView>
  </sheetViews>
  <sheetFormatPr baseColWidth="8" defaultRowHeight="15"/>
  <cols>
    <col width="24" customWidth="1" min="1" max="1"/>
    <col width="34" customWidth="1" min="2" max="2"/>
    <col width="34" customWidth="1" min="3" max="3"/>
    <col width="34" customWidth="1" min="4" max="4"/>
    <col width="34" customWidth="1" min="5" max="5"/>
  </cols>
  <sheetData>
    <row r="1" ht="40" customHeight="1">
      <c r="A1" s="70" t="inlineStr">
        <is>
          <t>💡  Opportunity Sheet</t>
        </is>
      </c>
      <c r="B1" s="71" t="n"/>
      <c r="C1" s="71" t="n"/>
      <c r="D1" s="71" t="n"/>
      <c r="E1" s="71" t="n"/>
    </row>
    <row r="2" ht="22" customHeight="1">
      <c r="A2" s="72" t="inlineStr">
        <is>
          <t>The lightweight pre-project artifact: capture an opportunity BEFORE it becomes a defined project. Feeds the portfolio and, if sanctioned, the Definition phase.</t>
        </is>
      </c>
      <c r="B2" s="71" t="n"/>
      <c r="C2" s="71" t="n"/>
      <c r="D2" s="71" t="n"/>
      <c r="E2" s="71" t="n"/>
    </row>
    <row r="4" ht="28" customHeight="1">
      <c r="A4" s="73" t="inlineStr">
        <is>
          <t>💡 HOW TO USE: One block per opportunity. Keep it honest and short — this is the seed of the 5W tradeoff. If sanctioned, it graduates into a 📜 Project Statement and a Definition phase.</t>
        </is>
      </c>
      <c r="B4" s="33" t="n"/>
      <c r="C4" s="33" t="n"/>
      <c r="D4" s="33" t="n"/>
      <c r="E4" s="33" t="n"/>
    </row>
    <row r="6" ht="24" customHeight="1">
      <c r="A6" s="74" t="inlineStr">
        <is>
          <t>✨  Opportunity 1</t>
        </is>
      </c>
      <c r="B6" s="71" t="n"/>
      <c r="C6" s="71" t="n"/>
      <c r="D6" s="71" t="n"/>
      <c r="E6" s="71" t="n"/>
    </row>
    <row r="7" ht="20" customHeight="1">
      <c r="A7" s="75" t="inlineStr">
        <is>
          <t>Opportunity name</t>
        </is>
      </c>
      <c r="B7" s="35" t="inlineStr"/>
      <c r="C7" s="36" t="n"/>
      <c r="D7" s="36" t="n"/>
      <c r="E7" s="36" t="n"/>
    </row>
    <row r="8" ht="44" customHeight="1">
      <c r="A8" s="75" t="inlineStr">
        <is>
          <t>The opportunity (why now?)</t>
        </is>
      </c>
      <c r="B8" s="35" t="inlineStr"/>
      <c r="C8" s="36" t="n"/>
      <c r="D8" s="36" t="n"/>
      <c r="E8" s="36" t="n"/>
    </row>
    <row r="9" ht="36" customHeight="1">
      <c r="A9" s="75" t="inlineStr">
        <is>
          <t>What we'd build / deliver</t>
        </is>
      </c>
      <c r="B9" s="35" t="inlineStr"/>
      <c r="C9" s="36" t="n"/>
      <c r="D9" s="36" t="n"/>
      <c r="E9" s="36" t="n"/>
    </row>
    <row r="10" ht="24" customHeight="1">
      <c r="A10" s="75" t="inlineStr">
        <is>
          <t>Who would benefit (customer)</t>
        </is>
      </c>
      <c r="B10" s="35" t="inlineStr"/>
      <c r="C10" s="36" t="n"/>
      <c r="D10" s="36" t="n"/>
      <c r="E10" s="36" t="n"/>
    </row>
    <row r="11" ht="24" customHeight="1">
      <c r="A11" s="75" t="inlineStr">
        <is>
          <t>Rough size of the prize</t>
        </is>
      </c>
      <c r="B11" s="35" t="inlineStr"/>
      <c r="C11" s="36" t="n"/>
      <c r="D11" s="36" t="n"/>
      <c r="E11" s="36" t="n"/>
    </row>
    <row r="12" ht="36" customHeight="1">
      <c r="A12" s="75" t="inlineStr">
        <is>
          <t>Why not — obvious risks &amp; costs</t>
        </is>
      </c>
      <c r="B12" s="35" t="inlineStr"/>
      <c r="C12" s="36" t="n"/>
      <c r="D12" s="36" t="n"/>
      <c r="E12" s="36" t="n"/>
    </row>
    <row r="13" ht="20" customHeight="1">
      <c r="A13" s="75" t="inlineStr">
        <is>
          <t>Sponsor (one name)</t>
        </is>
      </c>
      <c r="B13" s="35" t="inlineStr"/>
      <c r="C13" s="36" t="n"/>
      <c r="D13" s="36" t="n"/>
      <c r="E13" s="36" t="n"/>
    </row>
    <row r="14" ht="24" customHeight="1">
      <c r="A14" s="75" t="inlineStr">
        <is>
          <t>Recommended next step</t>
        </is>
      </c>
      <c r="B14" s="35" t="inlineStr"/>
      <c r="C14" s="36" t="n"/>
      <c r="D14" s="36" t="n"/>
      <c r="E14" s="36" t="n"/>
    </row>
    <row r="16" ht="24" customHeight="1">
      <c r="A16" s="74" t="inlineStr">
        <is>
          <t>✨  Opportunity 2</t>
        </is>
      </c>
      <c r="B16" s="71" t="n"/>
      <c r="C16" s="71" t="n"/>
      <c r="D16" s="71" t="n"/>
      <c r="E16" s="71" t="n"/>
    </row>
    <row r="17" ht="20" customHeight="1">
      <c r="A17" s="75" t="inlineStr">
        <is>
          <t>Opportunity name</t>
        </is>
      </c>
      <c r="B17" s="35" t="inlineStr"/>
      <c r="C17" s="36" t="n"/>
      <c r="D17" s="36" t="n"/>
      <c r="E17" s="36" t="n"/>
    </row>
    <row r="18" ht="44" customHeight="1">
      <c r="A18" s="75" t="inlineStr">
        <is>
          <t>The opportunity (why now?)</t>
        </is>
      </c>
      <c r="B18" s="35" t="inlineStr"/>
      <c r="C18" s="36" t="n"/>
      <c r="D18" s="36" t="n"/>
      <c r="E18" s="36" t="n"/>
    </row>
    <row r="19" ht="36" customHeight="1">
      <c r="A19" s="75" t="inlineStr">
        <is>
          <t>What we'd build / deliver</t>
        </is>
      </c>
      <c r="B19" s="35" t="inlineStr"/>
      <c r="C19" s="36" t="n"/>
      <c r="D19" s="36" t="n"/>
      <c r="E19" s="36" t="n"/>
    </row>
    <row r="20" ht="24" customHeight="1">
      <c r="A20" s="75" t="inlineStr">
        <is>
          <t>Who would benefit (customer)</t>
        </is>
      </c>
      <c r="B20" s="35" t="inlineStr"/>
      <c r="C20" s="36" t="n"/>
      <c r="D20" s="36" t="n"/>
      <c r="E20" s="36" t="n"/>
    </row>
    <row r="21" ht="24" customHeight="1">
      <c r="A21" s="75" t="inlineStr">
        <is>
          <t>Rough size of the prize</t>
        </is>
      </c>
      <c r="B21" s="35" t="inlineStr"/>
      <c r="C21" s="36" t="n"/>
      <c r="D21" s="36" t="n"/>
      <c r="E21" s="36" t="n"/>
    </row>
    <row r="22" ht="36" customHeight="1">
      <c r="A22" s="75" t="inlineStr">
        <is>
          <t>Why not — obvious risks &amp; costs</t>
        </is>
      </c>
      <c r="B22" s="35" t="inlineStr"/>
      <c r="C22" s="36" t="n"/>
      <c r="D22" s="36" t="n"/>
      <c r="E22" s="36" t="n"/>
    </row>
    <row r="23" ht="20" customHeight="1">
      <c r="A23" s="75" t="inlineStr">
        <is>
          <t>Sponsor (one name)</t>
        </is>
      </c>
      <c r="B23" s="35" t="inlineStr"/>
      <c r="C23" s="36" t="n"/>
      <c r="D23" s="36" t="n"/>
      <c r="E23" s="36" t="n"/>
    </row>
    <row r="24" ht="24" customHeight="1">
      <c r="A24" s="75" t="inlineStr">
        <is>
          <t>Recommended next step</t>
        </is>
      </c>
      <c r="B24" s="35" t="inlineStr"/>
      <c r="C24" s="36" t="n"/>
      <c r="D24" s="36" t="n"/>
      <c r="E24" s="36" t="n"/>
    </row>
    <row r="26" ht="24" customHeight="1">
      <c r="A26" s="74" t="inlineStr">
        <is>
          <t>✨  Opportunity 3</t>
        </is>
      </c>
      <c r="B26" s="71" t="n"/>
      <c r="C26" s="71" t="n"/>
      <c r="D26" s="71" t="n"/>
      <c r="E26" s="71" t="n"/>
    </row>
    <row r="27" ht="20" customHeight="1">
      <c r="A27" s="75" t="inlineStr">
        <is>
          <t>Opportunity name</t>
        </is>
      </c>
      <c r="B27" s="35" t="inlineStr"/>
      <c r="C27" s="36" t="n"/>
      <c r="D27" s="36" t="n"/>
      <c r="E27" s="36" t="n"/>
    </row>
    <row r="28" ht="44" customHeight="1">
      <c r="A28" s="75" t="inlineStr">
        <is>
          <t>The opportunity (why now?)</t>
        </is>
      </c>
      <c r="B28" s="35" t="inlineStr"/>
      <c r="C28" s="36" t="n"/>
      <c r="D28" s="36" t="n"/>
      <c r="E28" s="36" t="n"/>
    </row>
    <row r="29" ht="36" customHeight="1">
      <c r="A29" s="75" t="inlineStr">
        <is>
          <t>What we'd build / deliver</t>
        </is>
      </c>
      <c r="B29" s="35" t="inlineStr"/>
      <c r="C29" s="36" t="n"/>
      <c r="D29" s="36" t="n"/>
      <c r="E29" s="36" t="n"/>
    </row>
    <row r="30" ht="24" customHeight="1">
      <c r="A30" s="75" t="inlineStr">
        <is>
          <t>Who would benefit (customer)</t>
        </is>
      </c>
      <c r="B30" s="35" t="inlineStr"/>
      <c r="C30" s="36" t="n"/>
      <c r="D30" s="36" t="n"/>
      <c r="E30" s="36" t="n"/>
    </row>
    <row r="31" ht="24" customHeight="1">
      <c r="A31" s="75" t="inlineStr">
        <is>
          <t>Rough size of the prize</t>
        </is>
      </c>
      <c r="B31" s="35" t="inlineStr"/>
      <c r="C31" s="36" t="n"/>
      <c r="D31" s="36" t="n"/>
      <c r="E31" s="36" t="n"/>
    </row>
    <row r="32" ht="36" customHeight="1">
      <c r="A32" s="75" t="inlineStr">
        <is>
          <t>Why not — obvious risks &amp; costs</t>
        </is>
      </c>
      <c r="B32" s="35" t="inlineStr"/>
      <c r="C32" s="36" t="n"/>
      <c r="D32" s="36" t="n"/>
      <c r="E32" s="36" t="n"/>
    </row>
    <row r="33" ht="20" customHeight="1">
      <c r="A33" s="75" t="inlineStr">
        <is>
          <t>Sponsor (one name)</t>
        </is>
      </c>
      <c r="B33" s="35" t="inlineStr"/>
      <c r="C33" s="36" t="n"/>
      <c r="D33" s="36" t="n"/>
      <c r="E33" s="36" t="n"/>
    </row>
    <row r="34" ht="24" customHeight="1">
      <c r="A34" s="75" t="inlineStr">
        <is>
          <t>Recommended next step</t>
        </is>
      </c>
      <c r="B34" s="35" t="inlineStr"/>
      <c r="C34" s="36" t="n"/>
      <c r="D34" s="36" t="n"/>
      <c r="E34" s="36" t="n"/>
    </row>
  </sheetData>
  <mergeCells count="30">
    <mergeCell ref="B9:E9"/>
    <mergeCell ref="B30:E30"/>
    <mergeCell ref="B33:E33"/>
    <mergeCell ref="A1:E1"/>
    <mergeCell ref="B24:E24"/>
    <mergeCell ref="B20:E20"/>
    <mergeCell ref="A6:E6"/>
    <mergeCell ref="B32:E32"/>
    <mergeCell ref="A16:E16"/>
    <mergeCell ref="B7:E7"/>
    <mergeCell ref="B22:E22"/>
    <mergeCell ref="B31:E31"/>
    <mergeCell ref="B18:E18"/>
    <mergeCell ref="B27:E27"/>
    <mergeCell ref="A26:E26"/>
    <mergeCell ref="A2:E2"/>
    <mergeCell ref="B12:E12"/>
    <mergeCell ref="B21:E21"/>
    <mergeCell ref="B11:E11"/>
    <mergeCell ref="B14:E14"/>
    <mergeCell ref="B17:E17"/>
    <mergeCell ref="B23:E23"/>
    <mergeCell ref="A4:E4"/>
    <mergeCell ref="B8:E8"/>
    <mergeCell ref="B13:E13"/>
    <mergeCell ref="B29:E29"/>
    <mergeCell ref="B19:E19"/>
    <mergeCell ref="B34:E34"/>
    <mergeCell ref="B10:E10"/>
    <mergeCell ref="B28:E28"/>
  </mergeCells>
  <pageMargins left="0.75" right="0.75" top="1" bottom="1" header="0.5" footer="0.5"/>
</worksheet>
</file>

<file path=xl/worksheets/sheet15.xml><?xml version="1.0" encoding="utf-8"?>
<worksheet xmlns="http://schemas.openxmlformats.org/spreadsheetml/2006/main">
  <sheetPr>
    <tabColor rgb="001E8E3E"/>
    <outlinePr summaryBelow="1" summaryRight="1"/>
    <pageSetUpPr/>
  </sheetPr>
  <dimension ref="A1:H45"/>
  <sheetViews>
    <sheetView showGridLines="0" zoomScale="100" workbookViewId="0">
      <pane ySplit="21" topLeftCell="A22"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8" customWidth="1" min="5" max="5"/>
    <col width="18" customWidth="1" min="6" max="6"/>
    <col width="18" customWidth="1" min="7" max="7"/>
    <col width="30" customWidth="1" min="8" max="8"/>
  </cols>
  <sheetData>
    <row r="1" ht="40" customHeight="1">
      <c r="A1" s="76" t="inlineStr">
        <is>
          <t>📊  Project Health Dashboard</t>
        </is>
      </c>
      <c r="B1" s="77" t="n"/>
      <c r="C1" s="77" t="n"/>
      <c r="D1" s="77" t="n"/>
      <c r="E1" s="77" t="n"/>
      <c r="F1" s="77" t="n"/>
      <c r="G1" s="77" t="n"/>
      <c r="H1" s="77" t="n"/>
    </row>
    <row r="2" ht="22" customHeight="1">
      <c r="A2" s="78" t="inlineStr">
        <is>
          <t>Metrics are a lever: 'The simple act of transparently accounting for results improves results.' Review at every WAM.</t>
        </is>
      </c>
      <c r="B2" s="77" t="n"/>
      <c r="C2" s="77" t="n"/>
      <c r="D2" s="77" t="n"/>
      <c r="E2" s="77" t="n"/>
      <c r="F2" s="77" t="n"/>
      <c r="G2" s="77" t="n"/>
      <c r="H2" s="77" t="n"/>
    </row>
    <row r="4" ht="56" customHeight="1">
      <c r="A4" s="79" t="inlineStr">
        <is>
          <t>💡 HOW TO USE: The counters below compute automatically from the other sheets. The weekly table is filled at each WAM (or by an AI agent ingesting the meeting transcript). Trend matters more than any single number: a falling completion rate is the earliest warning the project has. Novel-P1 risks sitting Open for weeks = your real status, whatever the schedule says.</t>
        </is>
      </c>
      <c r="B4" s="33" t="n"/>
      <c r="C4" s="33" t="n"/>
      <c r="D4" s="33" t="n"/>
      <c r="E4" s="33" t="n"/>
      <c r="F4" s="33" t="n"/>
      <c r="G4" s="33" t="n"/>
      <c r="H4" s="33" t="n"/>
    </row>
    <row r="6" ht="24" customHeight="1">
      <c r="A6" s="80" t="inlineStr">
        <is>
          <t>🔢  Live counters (auto-computed)</t>
        </is>
      </c>
      <c r="B6" s="77" t="n"/>
      <c r="C6" s="77" t="n"/>
      <c r="D6" s="77" t="n"/>
      <c r="E6" s="77" t="n"/>
      <c r="F6" s="77" t="n"/>
      <c r="G6" s="77" t="n"/>
      <c r="H6" s="77" t="n"/>
    </row>
    <row r="7" ht="30" customHeight="1">
      <c r="A7" s="81" t="inlineStr">
        <is>
          <t>Metric</t>
        </is>
      </c>
      <c r="B7" s="81" t="inlineStr">
        <is>
          <t>Value</t>
        </is>
      </c>
      <c r="C7" s="81" t="inlineStr">
        <is>
          <t>Reading it</t>
        </is>
      </c>
      <c r="D7" s="81" t="inlineStr"/>
      <c r="E7" s="81" t="inlineStr"/>
      <c r="F7" s="81" t="inlineStr"/>
      <c r="G7" s="81" t="inlineStr"/>
      <c r="H7" s="81" t="inlineStr"/>
    </row>
    <row r="8" ht="22" customHeight="1">
      <c r="A8" s="12" t="inlineStr">
        <is>
          <t>Risks — total on RAP</t>
        </is>
      </c>
      <c r="B8" s="82">
        <f>COUNTA('⚠️ Risk Action Plan'!A7:A37)</f>
        <v/>
      </c>
      <c r="C8" s="7" t="inlineStr">
        <is>
          <t>Growing fast in Definition is GOOD (blind spot draining)</t>
        </is>
      </c>
    </row>
    <row r="9" ht="22" customHeight="1">
      <c r="A9" s="12" t="inlineStr">
        <is>
          <t>Risks — Open</t>
        </is>
      </c>
      <c r="B9" s="82">
        <f>COUNTIF('⚠️ Risk Action Plan'!L7:L37,"Open")</f>
        <v/>
      </c>
      <c r="C9" s="7" t="inlineStr">
        <is>
          <t>Un-owned or un-mitigated exposure</t>
        </is>
      </c>
    </row>
    <row r="10" ht="22" customHeight="1">
      <c r="A10" s="12" t="inlineStr">
        <is>
          <t>Risks — Mitigating</t>
        </is>
      </c>
      <c r="B10" s="82">
        <f>COUNTIF('⚠️ Risk Action Plan'!L7:L37,"Mitigating")</f>
        <v/>
      </c>
      <c r="C10" s="7" t="inlineStr">
        <is>
          <t>Work in flight</t>
        </is>
      </c>
    </row>
    <row r="11" ht="22" customHeight="1">
      <c r="A11" s="12" t="inlineStr">
        <is>
          <t>Risks — Retired</t>
        </is>
      </c>
      <c r="B11" s="82">
        <f>COUNTIF('⚠️ Risk Action Plan'!L7:L37,"Retired")</f>
        <v/>
      </c>
      <c r="C11" s="7" t="inlineStr">
        <is>
          <t>Progress! Gate: ~25–30% retired before commitment</t>
        </is>
      </c>
    </row>
    <row r="12" ht="22" customHeight="1">
      <c r="A12" s="12" t="inlineStr">
        <is>
          <t>Risks — became issues</t>
        </is>
      </c>
      <c r="B12" s="82">
        <f>COUNTIF('⚠️ Risk Action Plan'!L7:L37,"Became issue")</f>
        <v/>
      </c>
      <c r="C12" s="7" t="inlineStr">
        <is>
          <t>Risks that struck — check the Issues Log</t>
        </is>
      </c>
    </row>
    <row r="13" ht="22" customHeight="1">
      <c r="A13" s="12" t="inlineStr">
        <is>
          <t>% early risks retired</t>
        </is>
      </c>
      <c r="B13" s="82">
        <f>IF(COUNTA('⚠️ Risk Action Plan'!A7:A37)=0,"—",ROUND(COUNTIF('⚠️ Risk Action Plan'!L7:L37,"Retired")/COUNTA('⚠️ Risk Action Plan'!A7:A37)*100,0))</f>
        <v/>
      </c>
      <c r="C13" s="7" t="inlineStr">
        <is>
          <t>Commitment-gate rule of thumb: ~25–30%</t>
        </is>
      </c>
    </row>
    <row r="14" ht="22" customHeight="1">
      <c r="A14" s="12" t="inlineStr">
        <is>
          <t>Actions — open</t>
        </is>
      </c>
      <c r="B14" s="82">
        <f>COUNTIF('✅ Actions'!F7:F40,"Not started")+COUNTIF('✅ Actions'!F7:F40,"In progress")</f>
        <v/>
      </c>
      <c r="C14" s="7" t="inlineStr">
        <is>
          <t>Every one has ONE owner and a date</t>
        </is>
      </c>
    </row>
    <row r="15" ht="22" customHeight="1">
      <c r="A15" s="12" t="inlineStr">
        <is>
          <t>Actions — missed (no cleanup)</t>
        </is>
      </c>
      <c r="B15" s="82">
        <f>COUNTIF('✅ Actions'!H7:H40,"No — missed")</f>
        <v/>
      </c>
      <c r="C15" s="7" t="inlineStr">
        <is>
          <t>Integrity leak — discuss at WAM, without blame</t>
        </is>
      </c>
    </row>
    <row r="16" ht="22" customHeight="1">
      <c r="A16" s="12" t="inlineStr">
        <is>
          <t>Issues — open</t>
        </is>
      </c>
      <c r="B16" s="82">
        <f>COUNTIF('🚧 Issues Log'!F7:F30,"Open")+COUNTIF('🚧 Issues Log'!F7:F30,"In work")</f>
        <v/>
      </c>
      <c r="C16" s="7" t="inlineStr">
        <is>
          <t>Solve in issue meetings, not the WAM</t>
        </is>
      </c>
    </row>
    <row r="17" ht="22" customHeight="1">
      <c r="A17" s="12" t="inlineStr">
        <is>
          <t>Team — pending agreement</t>
        </is>
      </c>
      <c r="B17" s="82">
        <f>COUNTIF('👥 Team List'!F7:F25,"Pending")+COUNTIF('👥 Team List'!F7:F25,"Declined")</f>
        <v/>
      </c>
      <c r="C17" s="7" t="inlineStr">
        <is>
          <t>Accountability requires agreement</t>
        </is>
      </c>
    </row>
    <row r="19" ht="24" customHeight="1">
      <c r="A19" s="80" t="inlineStr">
        <is>
          <t>📈  Weekly completion rate — the signature metric</t>
        </is>
      </c>
      <c r="B19" s="77" t="n"/>
      <c r="C19" s="77" t="n"/>
      <c r="D19" s="77" t="n"/>
      <c r="E19" s="77" t="n"/>
      <c r="F19" s="77" t="n"/>
      <c r="G19" s="77" t="n"/>
      <c r="H19" s="77" t="n"/>
    </row>
    <row r="20" ht="42" customHeight="1">
      <c r="A20" s="79" t="inlineStr">
        <is>
          <t>💡 Each week: Committed = rows on 📅 Weekly Schedule scored at the WAM; Done = those scored 'Done'. Rate = Done ÷ Committed. Healthy teams run high-80s to 90s%. 100% every week can mean sandbagged commitments; a falling trend is the earliest warning you will get. Chart this!</t>
        </is>
      </c>
      <c r="B20" s="33" t="n"/>
      <c r="C20" s="33" t="n"/>
      <c r="D20" s="33" t="n"/>
      <c r="E20" s="33" t="n"/>
      <c r="F20" s="33" t="n"/>
      <c r="G20" s="33" t="n"/>
      <c r="H20" s="33" t="n"/>
    </row>
    <row r="21" ht="30" customHeight="1">
      <c r="A21" s="81" t="inlineStr">
        <is>
          <t>Week #</t>
        </is>
      </c>
      <c r="B21" s="81" t="inlineStr">
        <is>
          <t>Week of (Mon)</t>
        </is>
      </c>
      <c r="C21" s="81" t="inlineStr">
        <is>
          <t>Committed</t>
        </is>
      </c>
      <c r="D21" s="81" t="inlineStr">
        <is>
          <t>Done</t>
        </is>
      </c>
      <c r="E21" s="81" t="inlineStr">
        <is>
          <t>Rate %</t>
        </is>
      </c>
      <c r="F21" s="81" t="inlineStr">
        <is>
          <t>New risks added</t>
        </is>
      </c>
      <c r="G21" s="81" t="inlineStr">
        <is>
          <t>Risks retired</t>
        </is>
      </c>
      <c r="H21" s="81" t="inlineStr">
        <is>
          <t>WAM notes</t>
        </is>
      </c>
    </row>
    <row r="22" ht="20" customHeight="1">
      <c r="A22" s="83" t="n">
        <v>1</v>
      </c>
      <c r="B22" s="7" t="inlineStr"/>
      <c r="C22" s="83" t="inlineStr"/>
      <c r="D22" s="83" t="inlineStr"/>
      <c r="E22" s="83">
        <f>IF(OR(C22="",C22=0),"",ROUND(D22/C22*100,0))</f>
        <v/>
      </c>
      <c r="F22" s="83" t="inlineStr"/>
      <c r="G22" s="83" t="inlineStr"/>
      <c r="H22" s="7" t="inlineStr"/>
    </row>
    <row r="23" ht="20" customHeight="1">
      <c r="A23" s="84" t="n">
        <v>2</v>
      </c>
      <c r="B23" s="85" t="inlineStr"/>
      <c r="C23" s="84" t="inlineStr"/>
      <c r="D23" s="84" t="inlineStr"/>
      <c r="E23" s="84">
        <f>IF(OR(C23="",C23=0),"",ROUND(D23/C23*100,0))</f>
        <v/>
      </c>
      <c r="F23" s="84" t="inlineStr"/>
      <c r="G23" s="84" t="inlineStr"/>
      <c r="H23" s="85" t="inlineStr"/>
    </row>
    <row r="24" ht="20" customHeight="1">
      <c r="A24" s="83" t="n">
        <v>3</v>
      </c>
      <c r="B24" s="7" t="inlineStr"/>
      <c r="C24" s="83" t="inlineStr"/>
      <c r="D24" s="83" t="inlineStr"/>
      <c r="E24" s="83">
        <f>IF(OR(C24="",C24=0),"",ROUND(D24/C24*100,0))</f>
        <v/>
      </c>
      <c r="F24" s="83" t="inlineStr"/>
      <c r="G24" s="83" t="inlineStr"/>
      <c r="H24" s="7" t="inlineStr"/>
    </row>
    <row r="25" ht="20" customHeight="1">
      <c r="A25" s="84" t="n">
        <v>4</v>
      </c>
      <c r="B25" s="85" t="inlineStr"/>
      <c r="C25" s="84" t="inlineStr"/>
      <c r="D25" s="84" t="inlineStr"/>
      <c r="E25" s="84">
        <f>IF(OR(C25="",C25=0),"",ROUND(D25/C25*100,0))</f>
        <v/>
      </c>
      <c r="F25" s="84" t="inlineStr"/>
      <c r="G25" s="84" t="inlineStr"/>
      <c r="H25" s="85" t="inlineStr"/>
    </row>
    <row r="26" ht="20" customHeight="1">
      <c r="A26" s="83" t="n">
        <v>5</v>
      </c>
      <c r="B26" s="7" t="inlineStr"/>
      <c r="C26" s="83" t="inlineStr"/>
      <c r="D26" s="83" t="inlineStr"/>
      <c r="E26" s="83">
        <f>IF(OR(C26="",C26=0),"",ROUND(D26/C26*100,0))</f>
        <v/>
      </c>
      <c r="F26" s="83" t="inlineStr"/>
      <c r="G26" s="83" t="inlineStr"/>
      <c r="H26" s="7" t="inlineStr"/>
    </row>
    <row r="27" ht="20" customHeight="1">
      <c r="A27" s="84" t="n">
        <v>6</v>
      </c>
      <c r="B27" s="85" t="inlineStr"/>
      <c r="C27" s="84" t="inlineStr"/>
      <c r="D27" s="84" t="inlineStr"/>
      <c r="E27" s="84">
        <f>IF(OR(C27="",C27=0),"",ROUND(D27/C27*100,0))</f>
        <v/>
      </c>
      <c r="F27" s="84" t="inlineStr"/>
      <c r="G27" s="84" t="inlineStr"/>
      <c r="H27" s="85" t="inlineStr"/>
    </row>
    <row r="28" ht="20" customHeight="1">
      <c r="A28" s="83" t="n">
        <v>7</v>
      </c>
      <c r="B28" s="7" t="inlineStr"/>
      <c r="C28" s="83" t="inlineStr"/>
      <c r="D28" s="83" t="inlineStr"/>
      <c r="E28" s="83">
        <f>IF(OR(C28="",C28=0),"",ROUND(D28/C28*100,0))</f>
        <v/>
      </c>
      <c r="F28" s="83" t="inlineStr"/>
      <c r="G28" s="83" t="inlineStr"/>
      <c r="H28" s="7" t="inlineStr"/>
    </row>
    <row r="29" ht="20" customHeight="1">
      <c r="A29" s="84" t="n">
        <v>8</v>
      </c>
      <c r="B29" s="85" t="inlineStr"/>
      <c r="C29" s="84" t="inlineStr"/>
      <c r="D29" s="84" t="inlineStr"/>
      <c r="E29" s="84">
        <f>IF(OR(C29="",C29=0),"",ROUND(D29/C29*100,0))</f>
        <v/>
      </c>
      <c r="F29" s="84" t="inlineStr"/>
      <c r="G29" s="84" t="inlineStr"/>
      <c r="H29" s="85" t="inlineStr"/>
    </row>
    <row r="30" ht="20" customHeight="1">
      <c r="A30" s="83" t="n">
        <v>9</v>
      </c>
      <c r="B30" s="7" t="inlineStr"/>
      <c r="C30" s="83" t="inlineStr"/>
      <c r="D30" s="83" t="inlineStr"/>
      <c r="E30" s="83">
        <f>IF(OR(C30="",C30=0),"",ROUND(D30/C30*100,0))</f>
        <v/>
      </c>
      <c r="F30" s="83" t="inlineStr"/>
      <c r="G30" s="83" t="inlineStr"/>
      <c r="H30" s="7" t="inlineStr"/>
    </row>
    <row r="31" ht="20" customHeight="1">
      <c r="A31" s="84" t="n">
        <v>10</v>
      </c>
      <c r="B31" s="85" t="inlineStr"/>
      <c r="C31" s="84" t="inlineStr"/>
      <c r="D31" s="84" t="inlineStr"/>
      <c r="E31" s="84">
        <f>IF(OR(C31="",C31=0),"",ROUND(D31/C31*100,0))</f>
        <v/>
      </c>
      <c r="F31" s="84" t="inlineStr"/>
      <c r="G31" s="84" t="inlineStr"/>
      <c r="H31" s="85" t="inlineStr"/>
    </row>
    <row r="32" ht="20" customHeight="1">
      <c r="A32" s="83" t="n">
        <v>11</v>
      </c>
      <c r="B32" s="7" t="inlineStr"/>
      <c r="C32" s="83" t="inlineStr"/>
      <c r="D32" s="83" t="inlineStr"/>
      <c r="E32" s="83">
        <f>IF(OR(C32="",C32=0),"",ROUND(D32/C32*100,0))</f>
        <v/>
      </c>
      <c r="F32" s="83" t="inlineStr"/>
      <c r="G32" s="83" t="inlineStr"/>
      <c r="H32" s="7" t="inlineStr"/>
    </row>
    <row r="33" ht="20" customHeight="1">
      <c r="A33" s="84" t="n">
        <v>12</v>
      </c>
      <c r="B33" s="85" t="inlineStr"/>
      <c r="C33" s="84" t="inlineStr"/>
      <c r="D33" s="84" t="inlineStr"/>
      <c r="E33" s="84">
        <f>IF(OR(C33="",C33=0),"",ROUND(D33/C33*100,0))</f>
        <v/>
      </c>
      <c r="F33" s="84" t="inlineStr"/>
      <c r="G33" s="84" t="inlineStr"/>
      <c r="H33" s="85" t="inlineStr"/>
    </row>
    <row r="34" ht="20" customHeight="1">
      <c r="A34" s="83" t="n">
        <v>13</v>
      </c>
      <c r="B34" s="7" t="inlineStr"/>
      <c r="C34" s="83" t="inlineStr"/>
      <c r="D34" s="83" t="inlineStr"/>
      <c r="E34" s="83">
        <f>IF(OR(C34="",C34=0),"",ROUND(D34/C34*100,0))</f>
        <v/>
      </c>
      <c r="F34" s="83" t="inlineStr"/>
      <c r="G34" s="83" t="inlineStr"/>
      <c r="H34" s="7" t="inlineStr"/>
    </row>
    <row r="35" ht="20" customHeight="1">
      <c r="A35" s="84" t="n">
        <v>14</v>
      </c>
      <c r="B35" s="85" t="inlineStr"/>
      <c r="C35" s="84" t="inlineStr"/>
      <c r="D35" s="84" t="inlineStr"/>
      <c r="E35" s="84">
        <f>IF(OR(C35="",C35=0),"",ROUND(D35/C35*100,0))</f>
        <v/>
      </c>
      <c r="F35" s="84" t="inlineStr"/>
      <c r="G35" s="84" t="inlineStr"/>
      <c r="H35" s="85" t="inlineStr"/>
    </row>
    <row r="36" ht="20" customHeight="1">
      <c r="A36" s="83" t="n">
        <v>15</v>
      </c>
      <c r="B36" s="7" t="inlineStr"/>
      <c r="C36" s="83" t="inlineStr"/>
      <c r="D36" s="83" t="inlineStr"/>
      <c r="E36" s="83">
        <f>IF(OR(C36="",C36=0),"",ROUND(D36/C36*100,0))</f>
        <v/>
      </c>
      <c r="F36" s="83" t="inlineStr"/>
      <c r="G36" s="83" t="inlineStr"/>
      <c r="H36" s="7" t="inlineStr"/>
    </row>
    <row r="37" ht="20" customHeight="1">
      <c r="A37" s="84" t="n">
        <v>16</v>
      </c>
      <c r="B37" s="85" t="inlineStr"/>
      <c r="C37" s="84" t="inlineStr"/>
      <c r="D37" s="84" t="inlineStr"/>
      <c r="E37" s="84">
        <f>IF(OR(C37="",C37=0),"",ROUND(D37/C37*100,0))</f>
        <v/>
      </c>
      <c r="F37" s="84" t="inlineStr"/>
      <c r="G37" s="84" t="inlineStr"/>
      <c r="H37" s="85" t="inlineStr"/>
    </row>
    <row r="38" ht="20" customHeight="1">
      <c r="A38" s="83" t="n">
        <v>17</v>
      </c>
      <c r="B38" s="7" t="inlineStr"/>
      <c r="C38" s="83" t="inlineStr"/>
      <c r="D38" s="83" t="inlineStr"/>
      <c r="E38" s="83">
        <f>IF(OR(C38="",C38=0),"",ROUND(D38/C38*100,0))</f>
        <v/>
      </c>
      <c r="F38" s="83" t="inlineStr"/>
      <c r="G38" s="83" t="inlineStr"/>
      <c r="H38" s="7" t="inlineStr"/>
    </row>
    <row r="39" ht="20" customHeight="1">
      <c r="A39" s="84" t="n">
        <v>18</v>
      </c>
      <c r="B39" s="85" t="inlineStr"/>
      <c r="C39" s="84" t="inlineStr"/>
      <c r="D39" s="84" t="inlineStr"/>
      <c r="E39" s="84">
        <f>IF(OR(C39="",C39=0),"",ROUND(D39/C39*100,0))</f>
        <v/>
      </c>
      <c r="F39" s="84" t="inlineStr"/>
      <c r="G39" s="84" t="inlineStr"/>
      <c r="H39" s="85" t="inlineStr"/>
    </row>
    <row r="40" ht="20" customHeight="1">
      <c r="A40" s="83" t="n">
        <v>19</v>
      </c>
      <c r="B40" s="7" t="inlineStr"/>
      <c r="C40" s="83" t="inlineStr"/>
      <c r="D40" s="83" t="inlineStr"/>
      <c r="E40" s="83">
        <f>IF(OR(C40="",C40=0),"",ROUND(D40/C40*100,0))</f>
        <v/>
      </c>
      <c r="F40" s="83" t="inlineStr"/>
      <c r="G40" s="83" t="inlineStr"/>
      <c r="H40" s="7" t="inlineStr"/>
    </row>
    <row r="41" ht="20" customHeight="1">
      <c r="A41" s="84" t="n">
        <v>20</v>
      </c>
      <c r="B41" s="85" t="inlineStr"/>
      <c r="C41" s="84" t="inlineStr"/>
      <c r="D41" s="84" t="inlineStr"/>
      <c r="E41" s="84">
        <f>IF(OR(C41="",C41=0),"",ROUND(D41/C41*100,0))</f>
        <v/>
      </c>
      <c r="F41" s="84" t="inlineStr"/>
      <c r="G41" s="84" t="inlineStr"/>
      <c r="H41" s="85" t="inlineStr"/>
    </row>
    <row r="42" ht="20" customHeight="1">
      <c r="A42" s="83" t="n">
        <v>21</v>
      </c>
      <c r="B42" s="7" t="inlineStr"/>
      <c r="C42" s="83" t="inlineStr"/>
      <c r="D42" s="83" t="inlineStr"/>
      <c r="E42" s="83">
        <f>IF(OR(C42="",C42=0),"",ROUND(D42/C42*100,0))</f>
        <v/>
      </c>
      <c r="F42" s="83" t="inlineStr"/>
      <c r="G42" s="83" t="inlineStr"/>
      <c r="H42" s="7" t="inlineStr"/>
    </row>
    <row r="43" ht="20" customHeight="1">
      <c r="A43" s="84" t="n">
        <v>22</v>
      </c>
      <c r="B43" s="85" t="inlineStr"/>
      <c r="C43" s="84" t="inlineStr"/>
      <c r="D43" s="84" t="inlineStr"/>
      <c r="E43" s="84">
        <f>IF(OR(C43="",C43=0),"",ROUND(D43/C43*100,0))</f>
        <v/>
      </c>
      <c r="F43" s="84" t="inlineStr"/>
      <c r="G43" s="84" t="inlineStr"/>
      <c r="H43" s="85" t="inlineStr"/>
    </row>
    <row r="44" ht="20" customHeight="1">
      <c r="A44" s="83" t="n">
        <v>23</v>
      </c>
      <c r="B44" s="7" t="inlineStr"/>
      <c r="C44" s="83" t="inlineStr"/>
      <c r="D44" s="83" t="inlineStr"/>
      <c r="E44" s="83">
        <f>IF(OR(C44="",C44=0),"",ROUND(D44/C44*100,0))</f>
        <v/>
      </c>
      <c r="F44" s="83" t="inlineStr"/>
      <c r="G44" s="83" t="inlineStr"/>
      <c r="H44" s="7" t="inlineStr"/>
    </row>
    <row r="45" ht="20" customHeight="1">
      <c r="A45" s="84" t="n">
        <v>24</v>
      </c>
      <c r="B45" s="85" t="inlineStr"/>
      <c r="C45" s="84" t="inlineStr"/>
      <c r="D45" s="84" t="inlineStr"/>
      <c r="E45" s="84">
        <f>IF(OR(C45="",C45=0),"",ROUND(D45/C45*100,0))</f>
        <v/>
      </c>
      <c r="F45" s="84" t="inlineStr"/>
      <c r="G45" s="84" t="inlineStr"/>
      <c r="H45" s="85" t="inlineStr"/>
    </row>
  </sheetData>
  <mergeCells count="16">
    <mergeCell ref="A4:H4"/>
    <mergeCell ref="C11:H11"/>
    <mergeCell ref="C10:H10"/>
    <mergeCell ref="C16:H16"/>
    <mergeCell ref="C14:H14"/>
    <mergeCell ref="A20:H20"/>
    <mergeCell ref="C13:H13"/>
    <mergeCell ref="A2:H2"/>
    <mergeCell ref="C9:H9"/>
    <mergeCell ref="C17:H17"/>
    <mergeCell ref="C8:H8"/>
    <mergeCell ref="A19:H19"/>
    <mergeCell ref="A1:H1"/>
    <mergeCell ref="C12:H12"/>
    <mergeCell ref="A6:H6"/>
    <mergeCell ref="C15:H15"/>
  </mergeCells>
  <conditionalFormatting sqref="E22:E45">
    <cfRule type="expression" priority="1" dxfId="6">
      <formula>AND(ISNUMBER(E22),E22&lt;70)</formula>
    </cfRule>
    <cfRule type="expression" priority="2" dxfId="1">
      <formula>AND(ISNUMBER(E22),E22&gt;=70,E22&lt;85)</formula>
    </cfRule>
    <cfRule type="expression" priority="3" dxfId="2">
      <formula>AND(ISNUMBER(E22),E22&gt;=85)</formula>
    </cfRule>
  </conditionalFormatting>
  <pageMargins left="0.75" right="0.75" top="1" bottom="1" header="0.5" footer="0.5"/>
</worksheet>
</file>

<file path=xl/worksheets/sheet16.xml><?xml version="1.0" encoding="utf-8"?>
<worksheet xmlns="http://schemas.openxmlformats.org/spreadsheetml/2006/main">
  <sheetPr>
    <tabColor rgb="005B21B6"/>
    <outlinePr summaryBelow="1" summaryRight="1"/>
    <pageSetUpPr/>
  </sheetPr>
  <dimension ref="A1:F30"/>
  <sheetViews>
    <sheetView showGridLines="0" zoomScale="100" workbookViewId="0">
      <selection activeCell="A1" sqref="A1"/>
    </sheetView>
  </sheetViews>
  <sheetFormatPr baseColWidth="8" defaultRowHeight="15"/>
  <cols>
    <col width="4" customWidth="1" min="1" max="1"/>
    <col width="40" customWidth="1" min="2" max="2"/>
    <col width="40" customWidth="1" min="3" max="3"/>
    <col width="40" customWidth="1" min="4" max="4"/>
    <col width="40" customWidth="1" min="5" max="5"/>
    <col width="10" customWidth="1" min="6" max="6"/>
  </cols>
  <sheetData>
    <row r="1" ht="40" customHeight="1">
      <c r="A1" s="86" t="inlineStr">
        <is>
          <t>🤖  AI · Framework Context</t>
        </is>
      </c>
      <c r="B1" s="87" t="n"/>
      <c r="C1" s="87" t="n"/>
      <c r="D1" s="87" t="n"/>
      <c r="E1" s="87" t="n"/>
      <c r="F1" s="87" t="n"/>
    </row>
    <row r="2" ht="22" customHeight="1">
      <c r="A2" s="88" t="inlineStr">
        <is>
          <t>SYSTEM CONTEXT for AI agents. Read this sheet fully before doing anything else in this workbook. It makes you fluent in Risk Up Front.</t>
        </is>
      </c>
      <c r="B2" s="87" t="n"/>
      <c r="C2" s="87" t="n"/>
      <c r="D2" s="87" t="n"/>
      <c r="E2" s="87" t="n"/>
      <c r="F2" s="87" t="n"/>
    </row>
    <row r="4" ht="24" customHeight="1">
      <c r="A4" s="89" t="inlineStr">
        <is>
          <t>🎯  Who you are, when reading this</t>
        </is>
      </c>
      <c r="B4" s="87" t="n"/>
      <c r="C4" s="87" t="n"/>
      <c r="D4" s="87" t="n"/>
      <c r="E4" s="87" t="n"/>
      <c r="F4" s="87" t="n"/>
    </row>
    <row r="5" ht="42.75" customHeight="1">
      <c r="A5" s="20" t="inlineStr">
        <is>
          <t>ROLE: You are an AI project-management copilot operating on a project run with the Risk Up Front (RUF) methodology (Adam Josephs &amp; Brad Rubenstein, 'Risk Up Front: Managing Projects in a Complex World', Lioncrest 2018). This workbook is the project's single source of truth. Humans and AI agents co-maintain it.</t>
        </is>
      </c>
    </row>
    <row r="6" ht="57" customHeight="1">
      <c r="A6" s="20" t="inlineStr">
        <is>
          <t>PRIME DIRECTIVE: RUF exists to shift urgency to the FRONT of the project so risks are surfaced and handled while they are cheap. Your job in every interaction: (1) surface risks in CEI form, (2) protect singular accountability, (3) keep commitments explicit and dated, (4) keep the documents transparent and current. When in doubt, prefer surfacing a risk over staying silent.</t>
        </is>
      </c>
    </row>
    <row r="7" ht="42.75" customHeight="1">
      <c r="A7" s="20" t="inlineStr">
        <is>
          <t>TONE RULES: Never assign blame. Integrity in RUF is about instances of language and results ('Was a commitment made, and was it kept?'), never about persons. Flag broken commitments factually and suggest cleanups.</t>
        </is>
      </c>
    </row>
    <row r="9" ht="24" customHeight="1">
      <c r="A9" s="89" t="inlineStr">
        <is>
          <t>📚  The framework, compressed (canonical definitions in quotes)</t>
        </is>
      </c>
      <c r="B9" s="87" t="n"/>
      <c r="C9" s="87" t="n"/>
      <c r="D9" s="87" t="n"/>
      <c r="E9" s="87" t="n"/>
      <c r="F9" s="87" t="n"/>
    </row>
    <row r="10" ht="85.5" customHeight="1">
      <c r="A10" s="20" t="inlineStr">
        <is>
          <t>FOUR PRINCIPLES — Accountability: 'Singular ownership of a result' (one NAME per result, agreed to, never a title/department; owner must cause the result). Transparency: 'Team-wide clarity of what is so' (decisions written down; documents reviewed line-by-line; measurable success criteria all confirm they agree on). Integrity: 'Do what you say' (depersonalized; at-risk commitments are cleaned up BEFORE the date). Commitment: 'It will be so, even in the face of circumstances' (language of commitment vs language of hope; 'when there is no room for no, then yes is meaningless').</t>
        </is>
      </c>
    </row>
    <row r="11" ht="28.5" customHeight="1">
      <c r="A11" s="20" t="inlineStr">
        <is>
          <t>FOUR LEVERS (how culture is engineered — distinct from the principles): Language, Structures, Practices, Metrics.</t>
        </is>
      </c>
    </row>
    <row r="12" ht="57" customHeight="1">
      <c r="A12" s="20" t="inlineStr">
        <is>
          <t>FOUR DOCUMENTS: Project Statement (1–3 pages, the 5W Tradeoff: Why, What, When, Who, WHY NOT; the object of team commitment) · Team List + Individual Accountabilities (names, owned results, explicit agreement) · Weekly Schedule (project as weekly deliverables, one owner each, binary done/not-done) · Risk Action Plan / RAP (risks in CEI form with owners and dated mitigations).</t>
        </is>
      </c>
    </row>
    <row r="13" ht="71.25" customHeight="1">
      <c r="A13" s="20" t="inlineStr">
        <is>
          <t>TWO MEETINGS (both DKDK = 'Don't Know you Don't Know' — they REVEAL, never solve on the spot): the Definition Meeting (line-by-line read of the Project Statement with the full cross-functional team; harvests risks) and the Weekly Accountability Meeting / WAM (score last week's commitments → compute completion rate → clean up misses → walk the RAP → ask 'What is the most likely reason this project will fail?' → take next week's commitments). Issue meetings solve; informational meetings update.</t>
        </is>
      </c>
    </row>
    <row r="14" ht="57" customHeight="1">
      <c r="A14" s="20" t="inlineStr">
        <is>
          <t>RISK LANGUAGE — CEI form, mandatory: 'Because of [CAUSE: a fact verifiably true today], [EFFECT: an uncertain future event] may occur, resulting in [IMPACT: consequence to schedule/cost/scope/quality].' If the effect already happened it is an ISSUE, not a risk. Prioritize by exposure AND by NOVELTY to this team (novel risks get early urgency).</t>
        </is>
      </c>
    </row>
    <row r="15" ht="57" customHeight="1">
      <c r="A15" s="20" t="inlineStr">
        <is>
          <t>TIMELINE: Definition phase (high urgency by design; draft documents; load RAP; agree Cost of Being Late; retire big novel risks) → TEAM COMMITMENT decision point (rule of thumb: ~25–30% of early-identified risks retired; dates flip Target→Committed) → Delivery (weekly engine: Weekly Schedule + WAM) → Close (verify success criteria; audit what bit us that was never on the RAP).</t>
        </is>
      </c>
    </row>
    <row r="16" ht="57" customHeight="1">
      <c r="A16" s="20" t="inlineStr">
        <is>
          <t>KEY METRICS: weekly completion rate (done÷committed, the signature health metric; falling trend = earliest warning), cumulative risks identified (fast early growth is GOOD), risks retired, commitments cleaned up early vs missed silently, cost of being late (linear per-week + nonlinear step costs; prices all urgency/spend decisions).</t>
        </is>
      </c>
    </row>
    <row r="17" ht="85.5" customHeight="1">
      <c r="A17" s="20" t="inlineStr">
        <is>
          <t>VOCABULARY YOU MUST USE CORRECTLY: risk (uncertain, future, CEI form, on RAP) · issue (true now, Issues Log) · action (owned, dated task, Actions sheet) · commitment (dated promise in commitment language) · target vs committed date (flip at Team Commitment) · cleanup (renegotiating an at-risk commitment BEFORE its date) · retire (mitigate a risk to closure) · blind spot (what the team doesn't know it doesn't know) · optimistic procrastination (deferring risk work) · DKDK meeting · 5W (Why, What, When, Who, Why Not) · accountable owner (the ONE name).</t>
        </is>
      </c>
    </row>
    <row r="19" ht="24" customHeight="1">
      <c r="A19" s="89" t="inlineStr">
        <is>
          <t>🧭  Behavioral rules for agents on this project</t>
        </is>
      </c>
      <c r="B19" s="87" t="n"/>
      <c r="C19" s="87" t="n"/>
      <c r="D19" s="87" t="n"/>
      <c r="E19" s="87" t="n"/>
      <c r="F19" s="87" t="n"/>
    </row>
    <row r="20" ht="42.75" customHeight="1">
      <c r="A20" s="20" t="inlineStr">
        <is>
          <t>1. ONE NAME PER RESULT. Never write a team, pair, or role into an owner column. If a source says 'the backend team will…', record the named person if identifiable, else owner='UNASSIGNED ⚠' and add a risk: unowned result.</t>
        </is>
      </c>
    </row>
    <row r="21" ht="42.75" customHeight="1">
      <c r="A21" s="20" t="inlineStr">
        <is>
          <t>2. CEI OR IT DOESN'T COUNT. Rewrite every candidate risk into CEI form before entering it. If you cannot identify a present-fact cause, put your best draft in the row and mark Notes='NEEDS CAUSE — verify'. Never discard a risk because it is badly phrased.</t>
        </is>
      </c>
    </row>
    <row r="22" ht="42.75" customHeight="1">
      <c r="A22" s="20" t="inlineStr">
        <is>
          <t>3. COMMITMENT LANGUAGE DETECTION. 'I will deliver X by Friday' = commitment (record it). 'I'll try to get X done' / 'hopefully' / 'should be fine' = language of hope: do NOT record as a commitment; flag it as a candidate for the PM to firm up at the WAM.</t>
        </is>
      </c>
    </row>
    <row r="23" ht="42.75" customHeight="1">
      <c r="A23" s="20" t="inlineStr">
        <is>
          <t>4. NEVER SILENTLY MOVE A DATE. If a source shows a slip, record the cleanup (old date, new date, who renegotiated, when it was flagged relative to the due date). A slip flagged before the date = 'No — cleaned up early'; after = 'No — missed'.</t>
        </is>
      </c>
    </row>
    <row r="24" ht="42.75" customHeight="1">
      <c r="A24" s="20" t="inlineStr">
        <is>
          <t>5. PRESERVE, APPEND, NEVER OVERWRITE. Add new rows; edit only cells that are factually superseded (e.g., status transitions). Keep human-entered text; append clarifications in Notes with your marker (see schema sheet §Provenance).</t>
        </is>
      </c>
    </row>
    <row r="25" ht="28.5" customHeight="1">
      <c r="A25" s="20" t="inlineStr">
        <is>
          <t>6. DEDUPLICATE BY MEANING. Before adding a risk/action/issue/decision, scan existing IDs for semantic duplicates; if found, update that row's Notes instead of adding a twin.</t>
        </is>
      </c>
    </row>
    <row r="26" ht="42.75" customHeight="1">
      <c r="A26" s="20" t="inlineStr">
        <is>
          <t>7. SURFACE, DON'T SOLVE. Like a DKDK meeting, your ingestion passes reveal and route. Do not invent mitigations, decisions or dates that are not in the source material — leave those cells blank for humans, or add a suggestion clearly marked 'AI-suggested:'.</t>
        </is>
      </c>
    </row>
    <row r="27" ht="28.5" customHeight="1">
      <c r="A27" s="20" t="inlineStr">
        <is>
          <t>8. WHEN UNCERTAIN, WRITE IT DOWN AS UNCERTAIN. Confidence markers in Notes: [verbatim] (quoted), [inferred] (you deduced it), [ambiguous — check] (needs human confirmation). Transparency applies to you, too.</t>
        </is>
      </c>
    </row>
    <row r="29" ht="24" customHeight="1">
      <c r="A29" s="89" t="inlineStr">
        <is>
          <t>🗺  Reading order for a brand-new agent</t>
        </is>
      </c>
      <c r="B29" s="87" t="n"/>
      <c r="C29" s="87" t="n"/>
      <c r="D29" s="87" t="n"/>
      <c r="E29" s="87" t="n"/>
      <c r="F29" s="87" t="n"/>
    </row>
    <row r="30" ht="57" customHeight="1">
      <c r="A30" s="20" t="inlineStr">
        <is>
          <t>1) This sheet. 2) 🤖 AI · Workbook Schema (column map, enums, ID scheme, provenance rules). 3) 📜 Project Statement (the project's actual 5Ws). 4) 👥 Team List (who is accountable for what — needed to resolve names). 5) ⚠️ RAP + ✅ Actions + 📅 Weekly Schedule (current state). 6) 🤝 WAM log + 🧮 Decision Log (history). After that you are current. For ingestion tasks, follow the relevant 🤖 AI prompt sheet step by step.</t>
        </is>
      </c>
    </row>
  </sheetData>
  <mergeCells count="26">
    <mergeCell ref="A16:F16"/>
    <mergeCell ref="A27:F27"/>
    <mergeCell ref="A12:F12"/>
    <mergeCell ref="A26:F26"/>
    <mergeCell ref="A21:F21"/>
    <mergeCell ref="A2:F2"/>
    <mergeCell ref="A14:F14"/>
    <mergeCell ref="A5:F5"/>
    <mergeCell ref="A23:F23"/>
    <mergeCell ref="A22:F22"/>
    <mergeCell ref="A17:F17"/>
    <mergeCell ref="A4:F4"/>
    <mergeCell ref="A20:F20"/>
    <mergeCell ref="A29:F29"/>
    <mergeCell ref="A10:F10"/>
    <mergeCell ref="A13:F13"/>
    <mergeCell ref="A19:F19"/>
    <mergeCell ref="A9:F9"/>
    <mergeCell ref="A30:F30"/>
    <mergeCell ref="A15:F15"/>
    <mergeCell ref="A24:F24"/>
    <mergeCell ref="A11:F11"/>
    <mergeCell ref="A1:F1"/>
    <mergeCell ref="A6:F6"/>
    <mergeCell ref="A7:F7"/>
    <mergeCell ref="A25:F25"/>
  </mergeCells>
  <pageMargins left="0.75" right="0.75" top="1" bottom="1" header="0.5" footer="0.5"/>
</worksheet>
</file>

<file path=xl/worksheets/sheet17.xml><?xml version="1.0" encoding="utf-8"?>
<worksheet xmlns="http://schemas.openxmlformats.org/spreadsheetml/2006/main">
  <sheetPr>
    <tabColor rgb="005B21B6"/>
    <outlinePr summaryBelow="1" summaryRight="1"/>
    <pageSetUpPr/>
  </sheetPr>
  <dimension ref="A1:F29"/>
  <sheetViews>
    <sheetView showGridLines="0" zoomScale="100" workbookViewId="0">
      <selection activeCell="A1" sqref="A1"/>
    </sheetView>
  </sheetViews>
  <sheetFormatPr baseColWidth="8" defaultRowHeight="15"/>
  <cols>
    <col width="4" customWidth="1" min="1" max="1"/>
    <col width="40" customWidth="1" min="2" max="2"/>
    <col width="40" customWidth="1" min="3" max="3"/>
    <col width="40" customWidth="1" min="4" max="4"/>
    <col width="40" customWidth="1" min="5" max="5"/>
    <col width="10" customWidth="1" min="6" max="6"/>
  </cols>
  <sheetData>
    <row r="1" ht="40" customHeight="1">
      <c r="A1" s="86" t="inlineStr">
        <is>
          <t>🗄  AI · Workbook Schema</t>
        </is>
      </c>
      <c r="B1" s="87" t="n"/>
      <c r="C1" s="87" t="n"/>
      <c r="D1" s="87" t="n"/>
      <c r="E1" s="87" t="n"/>
      <c r="F1" s="87" t="n"/>
    </row>
    <row r="2" ht="22" customHeight="1">
      <c r="A2" s="88" t="inlineStr">
        <is>
          <t>Machine-oriented map of every sheet: columns, enums, ID schemes, and write rules. Consult before ANY write to this workbook.</t>
        </is>
      </c>
      <c r="B2" s="87" t="n"/>
      <c r="C2" s="87" t="n"/>
      <c r="D2" s="87" t="n"/>
      <c r="E2" s="87" t="n"/>
      <c r="F2" s="87" t="n"/>
    </row>
    <row r="4" ht="24" customHeight="1">
      <c r="A4" s="89" t="inlineStr">
        <is>
          <t>🌐  Global conventions</t>
        </is>
      </c>
      <c r="B4" s="87" t="n"/>
      <c r="C4" s="87" t="n"/>
      <c r="D4" s="87" t="n"/>
      <c r="E4" s="87" t="n"/>
      <c r="F4" s="87" t="n"/>
    </row>
    <row r="5" ht="42.75" customHeight="1">
      <c r="A5" s="20" t="inlineStr">
        <is>
          <t>IDs: Risks R-###, Actions A-###, Issues I-###, Decisions D-###, sequential, zero-padded to 3 digits, never reused. Find the max existing ID on the target sheet and increment. Cross-references use these IDs (e.g., an Action row's Source column holds 'R-004').</t>
        </is>
      </c>
    </row>
    <row r="6" ht="15" customHeight="1">
      <c r="A6" s="20" t="inlineStr">
        <is>
          <t>DATES: ISO format YYYY-MM-DD in all date cells. 'Week of' columns hold the MONDAY of that week.</t>
        </is>
      </c>
    </row>
    <row r="7" ht="15" customHeight="1">
      <c r="A7" s="20" t="inlineStr">
        <is>
          <t>ENUM CELLS have dropdown validation — write only the exact enum strings listed below (case-sensitive).</t>
        </is>
      </c>
    </row>
    <row r="8" ht="71.25" customHeight="1">
      <c r="A8" s="20" t="inlineStr">
        <is>
          <t>LAYOUT: every sheet has a title banner (rows 1–2), a help box, then one or more tables whose header row is a solid-color row of bold white text. Data rows follow immediately after the header row. Locate tables by their header text, not by hardcoded row numbers — humans may insert rows. Empty bordered rows at the bottom of each table are the append area; if a table is full, insert new rows above the section that follows (keep formatting by copying an existing data row).</t>
        </is>
      </c>
    </row>
    <row r="9" ht="42.75" customHeight="1">
      <c r="A9" s="20" t="inlineStr">
        <is>
          <t>PROVENANCE: every AI-written or AI-modified row gets a Notes suffix: '⟦AI: &lt;agent/model&gt; | &lt;source-type&gt;:&lt;source-id/date&gt; | &lt;confidence: verbatim|inferred|ambiguous&gt;⟧'. Never delete a human's provenance or text; append after it.</t>
        </is>
      </c>
    </row>
    <row r="11" ht="24" customHeight="1">
      <c r="A11" s="89" t="inlineStr">
        <is>
          <t>🗂  Sheet-by-sheet schema</t>
        </is>
      </c>
      <c r="B11" s="87" t="n"/>
      <c r="C11" s="87" t="n"/>
      <c r="D11" s="87" t="n"/>
      <c r="E11" s="87" t="n"/>
      <c r="F11" s="87" t="n"/>
    </row>
    <row r="12" ht="30" customHeight="1">
      <c r="A12" s="90" t="inlineStr"/>
      <c r="B12" s="90" t="inlineStr">
        <is>
          <t>Sheet</t>
        </is>
      </c>
      <c r="C12" s="90" t="inlineStr">
        <is>
          <t>Columns, enums, and write rules</t>
        </is>
      </c>
      <c r="D12" s="90" t="inlineStr"/>
      <c r="E12" s="90" t="inlineStr"/>
      <c r="F12" s="90" t="inlineStr"/>
    </row>
    <row r="13" ht="91" customHeight="1">
      <c r="A13" s="7" t="inlineStr"/>
      <c r="B13" s="12" t="inlineStr">
        <is>
          <t>📜 Project Statement</t>
        </is>
      </c>
      <c r="C13" s="7" t="inlineStr">
        <is>
          <t>Label/value blocks + small tables. Sections: Identity (Project Name, Project Leader [one name], Status enum: Definition|Committed|Delivery|Released|Closed|On Hold|Cancelled, Version) · WHY (Opportunity, Strategic fit) · WHAT (table: #, Deliverable, Description, Measure of success, Accountable Owner, Target/Committed date) · IS/IS-NOT scope table · WHEN (table: Milestone/Decision Point, Type, Date, Target-or-Committed enum: Target|Committed, Owner, Notes) · WHO (Functions required) · WHY NOT (Top risks summary, Tradeoffs, Cost of being late summary) · TEAM COMMITMENT table (Name, Role, Commitment statement, Date, Signature, Notes). WRITE RULES: agents may fill blanks and append table rows; changing existing Statement text after Status=Committed requires an entry in 🧮 Decision Log first.</t>
        </is>
      </c>
      <c r="F13" s="7" t="inlineStr"/>
    </row>
    <row r="14" ht="52" customHeight="1">
      <c r="A14" s="7" t="inlineStr"/>
      <c r="B14" s="12" t="inlineStr">
        <is>
          <t>👥 Team List</t>
        </is>
      </c>
      <c r="C14" s="7" t="inlineStr">
        <is>
          <t>Main table columns A–I: Name · Role on project · Function/Dept · Accountabilities (results singularly owned) · % time · Agreed &amp; committed? enum: 'Yes — committed'|'Pending'|'Declined' · Date agreed · Contact · Notes. Below: Function coverage table (Function needed to ship, Covered by, Gap?). WRITE RULES: never mark someone 'Yes — committed' unless the source shows their explicit agreement.</t>
        </is>
      </c>
      <c r="F14" s="7" t="inlineStr"/>
    </row>
    <row r="15" ht="39" customHeight="1">
      <c r="A15" s="7" t="inlineStr"/>
      <c r="B15" s="12" t="inlineStr">
        <is>
          <t>🧭 Individual Accountab.</t>
        </is>
      </c>
      <c r="C15" s="7" t="inlineStr">
        <is>
          <t>Repeated per-person blocks: Name, Role, then table (# · Result I singularly own · What 'done' means · Dependencies · Due week · Status/notes), then agreement line. WRITE RULES: only the person (or PM relaying them) populates commitments; agents may draft rows marked 'AI-suggested:'.</t>
        </is>
      </c>
      <c r="F15" s="7" t="inlineStr"/>
    </row>
    <row r="16" ht="78" customHeight="1">
      <c r="A16" s="7" t="inlineStr"/>
      <c r="B16" s="12" t="inlineStr">
        <is>
          <t>⚠️ Risk Action Plan</t>
        </is>
      </c>
      <c r="C16" s="7" t="inlineStr">
        <is>
          <t>Columns A–N: Risk ID (R-###) · CAUSE (present fact) · EFFECT (uncertain future event) · IMPACT (consequence) · Prob enum L|M|H · Impact enum L|M|H · Novelty enum Novel|Familiar · Priority enum P1|P2|P3 · Accountable Owner (one name) · Mitigation actions (numbered inline; each also becomes an ✅ Actions row) · Next action due (date) · Status enum Open|Mitigating|Retired|Accepted|'Became issue' · Date identified · Notes. The FIRST DATA ROW (R-001, the vendor-API example) is a worked EXAMPLE — never treat it as project data; replace it when the first real risk arrives. WRITE RULES: CEI mandatory; status 'Became issue' requires opening an I-### row on 🚧 Issues Log referencing the R-###.</t>
        </is>
      </c>
      <c r="F16" s="7" t="inlineStr"/>
    </row>
    <row r="17" ht="39" customHeight="1">
      <c r="A17" s="7" t="inlineStr"/>
      <c r="B17" s="12" t="inlineStr">
        <is>
          <t>✅ Actions</t>
        </is>
      </c>
      <c r="C17" s="7" t="inlineStr">
        <is>
          <t>Columns A–J: Action ID (A-###) · Action (concrete verb) · Source (R-###/I-###/D-###/WAM date) · Accountable Owner · Committed date · Status enum 'Not started'|'In progress'|Done|Renegotiated|Dropped · Done date · Kept commitment? enum Yes|'No — cleaned up early'|'No — missed' · Cleanup notes · Week (Monday date, for WAM scoring).</t>
        </is>
      </c>
      <c r="F17" s="7" t="inlineStr"/>
    </row>
    <row r="18" ht="52" customHeight="1">
      <c r="A18" s="7" t="inlineStr"/>
      <c r="B18" s="12" t="inlineStr">
        <is>
          <t>📅 Weekly Schedule</t>
        </is>
      </c>
      <c r="C18" s="7" t="inlineStr">
        <is>
          <t>Columns A–J: Week # · Week of (Mon) · Deliverable (noun, verifiable) · Accountable Owner · What 'done' means · Committed? enum Target|Committed · Scored at WAM enum Done|'Not done'|'—' · If not done: cleanup · Notes · Carry-over of (original row ref). WRITE RULES: scoring is binary; carried-over deliverables get a NEW row with 'Carry-over of' filled, the old row keeps its 'Not done'.</t>
        </is>
      </c>
      <c r="F18" s="7" t="inlineStr"/>
    </row>
    <row r="19" ht="39" customHeight="1">
      <c r="A19" s="7" t="inlineStr"/>
      <c r="B19" s="12" t="inlineStr">
        <is>
          <t>🤝 WAM Agenda &amp; Log</t>
        </is>
      </c>
      <c r="C19" s="7" t="inlineStr">
        <is>
          <t>Top: fixed 7-step agenda (read-only). WAM Log table columns A–H: Date · Attendees (absent flagged) · Answer to 'most likely reason to fail' · New risks added (R-### list) · Completion rate % (number) · Started on time? enum Yes|No · Cleanups made (A-### list) · Notes/decisions referred out. One row per meeting.</t>
        </is>
      </c>
      <c r="F19" s="7" t="inlineStr"/>
    </row>
    <row r="20" ht="39" customHeight="1">
      <c r="A20" s="7" t="inlineStr"/>
      <c r="B20" s="12" t="inlineStr">
        <is>
          <t>🚧 Issues Log</t>
        </is>
      </c>
      <c r="C20" s="7" t="inlineStr">
        <is>
          <t>Columns A–I: Issue ID (I-###) · Issue (what is true now) · From risk (R-### or blank) · Accountable Owner · Severity enum 'S1 — project-threatening'|'S2 — major'|'S3 — minor' · Status enum Open|'In work'|Resolved|Absorbed · Issue meeting date · Resolution/decision · Actions opened (A-### list).</t>
        </is>
      </c>
      <c r="F20" s="7" t="inlineStr"/>
    </row>
    <row r="21" ht="30" customHeight="1">
      <c r="A21" s="7" t="inlineStr"/>
      <c r="B21" s="12" t="inlineStr">
        <is>
          <t>🧮 Decision Log</t>
        </is>
      </c>
      <c r="C21" s="7" t="inlineStr">
        <is>
          <t>Columns A–H: Decision ID (D-###) · Decision · Context/alternatives · Decided by (accountable owner) · Date · Consequences (scope/schedule/cost) · Communicated to · Source (meeting/email/WAM ref).</t>
        </is>
      </c>
      <c r="F21" s="7" t="inlineStr"/>
    </row>
    <row r="22" ht="52" customHeight="1">
      <c r="A22" s="7" t="inlineStr"/>
      <c r="B22" s="12" t="inlineStr">
        <is>
          <t>💸 Cost of Being Late</t>
        </is>
      </c>
      <c r="C22" s="7" t="inlineStr">
        <is>
          <t>Linear table (Factor, Basis, Cost per week, Currency, Confidence enum High|Medium|Low, Agreed? enum Yes|'Not yet', Narrative) with TOTAL row · Nonlinear table (Factor, Trigger, Estimated cost, Currency, Likelihood enum, Agreed?, Narrative) · free-text narrative block. WRITE RULES: agents may propose numbers only with source citations; team agreement column stays 'Not yet' until humans confirm.</t>
        </is>
      </c>
      <c r="F22" s="7" t="inlineStr"/>
    </row>
    <row r="23" ht="39" customHeight="1">
      <c r="A23" s="7" t="inlineStr"/>
      <c r="B23" s="12" t="inlineStr">
        <is>
          <t>🗂 Accountability Matrix</t>
        </is>
      </c>
      <c r="C23" s="7" t="inlineStr">
        <is>
          <t>Row 5: header with names across B–J (fill real names over 'Name 1'…). Data rows: deliverable/area in A; exactly one ● per row (the single accountable owner), optional ○ for contributors. Zero ● = gap; two ● = collision — both must generate a RAP entry.</t>
        </is>
      </c>
      <c r="F23" s="7" t="inlineStr"/>
    </row>
    <row r="24" ht="30" customHeight="1">
      <c r="A24" s="7" t="inlineStr"/>
      <c r="B24" s="12" t="inlineStr">
        <is>
          <t>💡 Opportunity Sheet</t>
        </is>
      </c>
      <c r="C24" s="7" t="inlineStr">
        <is>
          <t>Three label/value blocks (Opportunity name, The opportunity, What we'd build, Who benefits, Size of prize, Why not, Sponsor [one name], Next step).</t>
        </is>
      </c>
      <c r="F24" s="7" t="inlineStr"/>
    </row>
    <row r="25" ht="39" customHeight="1">
      <c r="A25" s="7" t="inlineStr"/>
      <c r="B25" s="12" t="inlineStr">
        <is>
          <t>📊 Dashboard</t>
        </is>
      </c>
      <c r="C25" s="7" t="inlineStr">
        <is>
          <t>Live counters (formulas — DO NOT overwrite column B of the counters table) + weekly table columns A–H: Week # · Week of · Committed (count) · Done (count) · Rate % (formula — do not overwrite) · New risks added · Risks retired · WAM notes. Agents fill C, D, F, G, H after each WAM.</t>
        </is>
      </c>
      <c r="F25" s="7" t="inlineStr"/>
    </row>
    <row r="27" ht="24" customHeight="1">
      <c r="A27" s="89" t="inlineStr">
        <is>
          <t>🛡  Safety rails</t>
        </is>
      </c>
      <c r="B27" s="87" t="n"/>
      <c r="C27" s="87" t="n"/>
      <c r="D27" s="87" t="n"/>
      <c r="E27" s="87" t="n"/>
      <c r="F27" s="87" t="n"/>
    </row>
    <row r="28" ht="42.75" customHeight="1">
      <c r="A28" s="20" t="inlineStr">
        <is>
          <t>NEVER: delete rows · overwrite formulas (Dashboard counters, Rate % column, Cost-of-late TOTAL) · change enum vocabularies · rename sheets or headers · mark agreements/commitments on behalf of humans · treat the RAP example row (R-001 vendor-API) as data.</t>
        </is>
      </c>
    </row>
    <row r="29" ht="42.75" customHeight="1">
      <c r="A29" s="20" t="inlineStr">
        <is>
          <t>ALWAYS: append with next sequential ID · use ISO dates · add provenance markers · cross-link IDs both directions (risk↔action, risk↔issue) · leave cells blank rather than guessing · put anything ambiguous in Notes with [ambiguous — check].</t>
        </is>
      </c>
    </row>
  </sheetData>
  <mergeCells count="25">
    <mergeCell ref="C16:E16"/>
    <mergeCell ref="C22:E22"/>
    <mergeCell ref="A27:F27"/>
    <mergeCell ref="C25:E25"/>
    <mergeCell ref="C21:E21"/>
    <mergeCell ref="A2:F2"/>
    <mergeCell ref="A5:F5"/>
    <mergeCell ref="C23:E23"/>
    <mergeCell ref="A8:F8"/>
    <mergeCell ref="C17:E17"/>
    <mergeCell ref="A4:F4"/>
    <mergeCell ref="A29:F29"/>
    <mergeCell ref="A28:F28"/>
    <mergeCell ref="C13:E13"/>
    <mergeCell ref="C19:E19"/>
    <mergeCell ref="A9:F9"/>
    <mergeCell ref="C18:E18"/>
    <mergeCell ref="C15:E15"/>
    <mergeCell ref="C24:E24"/>
    <mergeCell ref="A11:F11"/>
    <mergeCell ref="C14:E14"/>
    <mergeCell ref="A1:F1"/>
    <mergeCell ref="A6:F6"/>
    <mergeCell ref="C20:E20"/>
    <mergeCell ref="A7:F7"/>
  </mergeCells>
  <pageMargins left="0.75" right="0.75" top="1" bottom="1" header="0.5" footer="0.5"/>
</worksheet>
</file>

<file path=xl/worksheets/sheet18.xml><?xml version="1.0" encoding="utf-8"?>
<worksheet xmlns="http://schemas.openxmlformats.org/spreadsheetml/2006/main">
  <sheetPr>
    <tabColor rgb="005B21B6"/>
    <outlinePr summaryBelow="1" summaryRight="1"/>
    <pageSetUpPr/>
  </sheetPr>
  <dimension ref="A1:F34"/>
  <sheetViews>
    <sheetView showGridLines="0" zoomScale="100" workbookViewId="0">
      <selection activeCell="A1" sqref="A1"/>
    </sheetView>
  </sheetViews>
  <sheetFormatPr baseColWidth="8" defaultRowHeight="15"/>
  <cols>
    <col width="4" customWidth="1" min="1" max="1"/>
    <col width="40" customWidth="1" min="2" max="2"/>
    <col width="40" customWidth="1" min="3" max="3"/>
    <col width="40" customWidth="1" min="4" max="4"/>
    <col width="40" customWidth="1" min="5" max="5"/>
    <col width="10" customWidth="1" min="6" max="6"/>
  </cols>
  <sheetData>
    <row r="1" ht="40" customHeight="1">
      <c r="A1" s="86" t="inlineStr">
        <is>
          <t>🎙  AI · Transcript Ingestion</t>
        </is>
      </c>
      <c r="B1" s="87" t="n"/>
      <c r="C1" s="87" t="n"/>
      <c r="D1" s="87" t="n"/>
      <c r="E1" s="87" t="n"/>
      <c r="F1" s="87" t="n"/>
    </row>
    <row r="2" ht="22" customHeight="1">
      <c r="A2" s="88" t="inlineStr">
        <is>
          <t>Prompt instructions for extracting a meeting transcript (WAM, Definition Meeting, issue meeting, or ad-hoc) into this workbook.</t>
        </is>
      </c>
      <c r="B2" s="87" t="n"/>
      <c r="C2" s="87" t="n"/>
      <c r="D2" s="87" t="n"/>
      <c r="E2" s="87" t="n"/>
      <c r="F2" s="87" t="n"/>
    </row>
    <row r="4" ht="24" customHeight="1">
      <c r="A4" s="89" t="inlineStr">
        <is>
          <t>📨  The prompt (give this to an AI agent along with the transcript)</t>
        </is>
      </c>
      <c r="B4" s="87" t="n"/>
      <c r="C4" s="87" t="n"/>
      <c r="D4" s="87" t="n"/>
      <c r="E4" s="87" t="n"/>
      <c r="F4" s="87" t="n"/>
    </row>
    <row r="5" ht="15" customHeight="1">
      <c r="A5" s="20" t="inlineStr">
        <is>
          <t>── BEGIN PROMPT ──</t>
        </is>
      </c>
    </row>
    <row r="6" ht="57" customHeight="1">
      <c r="A6" s="20" t="inlineStr">
        <is>
          <t>You are the RUF ingestion agent for this project. You have been given a meeting transcript. Your job is to extract every RUF-relevant object and write it into the correct sheet of this workbook, following 🤖 AI · Framework Context and 🤖 AI · Workbook Schema exactly. Work in the following passes, in order. Do not skip a pass. Do not solve problems — surface and route them.</t>
        </is>
      </c>
    </row>
    <row r="7" ht="15" customHeight="1">
      <c r="A7" s="20" t="inlineStr"/>
    </row>
    <row r="8" ht="71.25" customHeight="1">
      <c r="A8" s="20" t="inlineStr">
        <is>
          <t>PASS 0 — CLASSIFY THE MEETING. Determine: date, attendees (and expected-but-absent people, from context), and meeting type: WAM | Definition Meeting | Issue meeting | Informational | Other. Signals: scoring of last week's deliverables and next-week commitments ⇒ WAM; line-by-line reading of the Project Statement / 5W debate ⇒ Definition; a single known problem being solved by a small group ⇒ Issue meeting. Record your classification in your run summary (Pass 7).</t>
        </is>
      </c>
    </row>
    <row r="9" ht="15" customHeight="1">
      <c r="A9" s="20" t="inlineStr"/>
    </row>
    <row r="10" ht="142.5" customHeight="1">
      <c r="A10" s="20" t="inlineStr">
        <is>
          <t>PASS 1 — RISKS. Find every utterance expressing uncertainty about the future that could hurt the project: worries, 'what if…', 'I'm concerned…', 'we've never…', 'depends on…', hedges around dates, unresolved questions, missing skills/functions, external dependencies. For each: rewrite into CEI form (CAUSE = the present fact behind the worry; EFFECT = the uncertain future event; IMPACT = consequence to schedule/cost/scope/quality — infer conservatively and mark [inferred] if not stated). Deduplicate against the ⚠️ RAP; for existing risks, append transcript evidence to Notes. New risks: next R-###, Prob/Impact L|M|H (your judgment, mark [inferred]), Novelty = Novel unless the team clearly has retired this kind before, Priority blank for the PM unless obvious P1, Owner only if someone in the transcript accepted it ('I'll own that' = yes; being told to own it without assent = UNASSIGNED ⚠), Status = Open, Date identified = meeting date.</t>
        </is>
      </c>
    </row>
    <row r="11" ht="15" customHeight="1">
      <c r="A11" s="20" t="inlineStr"/>
    </row>
    <row r="12" ht="99.75" customHeight="1">
      <c r="A12" s="20" t="inlineStr">
        <is>
          <t>PASS 2 — COMMITMENTS. Find every dated promise: 'I will have X by Friday', 'you'll get it Tuesday', 'done by end of week'. Distinguish commitment language from language of hope ('I'll try', 'hopefully', 'should') — hope-language items are NOT commitments: list them in your run summary as 'candidates to firm up at next WAM'. For real commitments: if it is a weekly deliverable, append to 📅 Weekly Schedule (Deliverable as a verifiable noun, one Owner, Week of = Monday of the committed week, Committed? = Committed if made at/after Team Commitment else Target); if it is a task/mitigation, append to ✅ Actions with Source = the meeting reference or linked R-###.</t>
        </is>
      </c>
    </row>
    <row r="13" ht="15" customHeight="1">
      <c r="A13" s="20" t="inlineStr"/>
    </row>
    <row r="14" ht="71.25" customHeight="1">
      <c r="A14" s="20" t="inlineStr">
        <is>
          <t>PASS 3 — SCORES &amp; CLEANUPS (WAM meetings). If deliverables were scored: mark each corresponding 📅 Weekly Schedule row Done or 'Not done'. For every Not-done: record the cleanup in the row's cleanup column (root cause + new plan); create the re-committed deliverable as a NEW row with 'Carry-over of' filled; if the slip was flagged before its date mark the related ✅ Actions row 'No — cleaned up early', else 'No — missed'. Never edit the original committed date.</t>
        </is>
      </c>
    </row>
    <row r="15" ht="15" customHeight="1">
      <c r="A15" s="20" t="inlineStr"/>
    </row>
    <row r="16" ht="85.5" customHeight="1">
      <c r="A16" s="20" t="inlineStr">
        <is>
          <t>PASS 4 — ISSUES &amp; DECISIONS. Present-tense problems ('the build is broken', 'the vendor said no') ⇒ 🚧 Issues Log (I-###; if it realizes an existing risk, set that risk's Status='Became issue' and cross-link). Decisions made ('we're going with option B', scope in/out calls, date changes) ⇒ 🧮 Decision Log (D-###, Decided by = the accountable owner who made it, Source = meeting ref). Scope decisions also update the 📜 Project Statement IS/IS-NOT table — only if Status is pre-Committed; otherwise log the decision and flag 'Statement edit needed — post-commitment change' in your run summary.</t>
        </is>
      </c>
    </row>
    <row r="17" ht="15" customHeight="1">
      <c r="A17" s="20" t="inlineStr"/>
    </row>
    <row r="18" ht="71.25" customHeight="1">
      <c r="A18" s="20" t="inlineStr">
        <is>
          <t>PASS 5 — WAM LOG &amp; DASHBOARD (WAM meetings). Append one 🤝 WAM Log row: Date, Attendees, the answer(s) given to 'what is the most likely reason this project will fail?' (if the question wasn't asked, write 'NOT ASKED ⚠'), New risks added (R-### list from Pass 1), Completion rate % (Done ÷ scored, from Pass 3), Started on time? (if determinable), Cleanups made (A-### list), Notes. Then fill the matching 📊 Dashboard weekly row: Committed, Done, New risks added, Risks retired, WAM notes. Do not touch formula cells.</t>
        </is>
      </c>
    </row>
    <row r="19" ht="15" customHeight="1">
      <c r="A19" s="20" t="inlineStr"/>
    </row>
    <row r="20" ht="42.75" customHeight="1">
      <c r="A20" s="20" t="inlineStr">
        <is>
          <t>PASS 6 — TEAM CHANGES. New people, departures, allocation changes, or explicit acceptance of accountabilities ⇒ update 👥 Team List (agreement column only on explicit assent) and note gaps in the Function coverage table; unfilled functions become RAP risks.</t>
        </is>
      </c>
    </row>
    <row r="21" ht="15" customHeight="1">
      <c r="A21" s="20" t="inlineStr"/>
    </row>
    <row r="22" ht="71.25" customHeight="1">
      <c r="A22" s="20" t="inlineStr">
        <is>
          <t>PASS 7 — RUN SUMMARY. Produce for the human PM: meeting classification; counts of objects written per sheet with IDs; hope-language candidates to firm up; UNASSIGNED ⚠ owners; [ambiguous — check] items; anything you saw that pattern-matches the standing question ('most likely reason to fail') even if nobody said it — as AI-suggested CEI drafts, clearly marked. Add provenance markers ⟦AI: … | transcript:&lt;date&gt; | …⟧ on every row you touched.</t>
        </is>
      </c>
    </row>
    <row r="23" ht="15" customHeight="1">
      <c r="A23" s="20" t="inlineStr">
        <is>
          <t>── END PROMPT ──</t>
        </is>
      </c>
    </row>
    <row r="25" ht="24" customHeight="1">
      <c r="A25" s="89" t="inlineStr">
        <is>
          <t>🔍  Extraction cues cheat-sheet</t>
        </is>
      </c>
      <c r="B25" s="87" t="n"/>
      <c r="C25" s="87" t="n"/>
      <c r="D25" s="87" t="n"/>
      <c r="E25" s="87" t="n"/>
      <c r="F25" s="87" t="n"/>
    </row>
    <row r="26" ht="30" customHeight="1">
      <c r="A26" s="90" t="inlineStr"/>
      <c r="B26" s="90" t="inlineStr">
        <is>
          <t>You hear…</t>
        </is>
      </c>
      <c r="C26" s="90" t="inlineStr">
        <is>
          <t>It probably is…</t>
        </is>
      </c>
      <c r="D26" s="90" t="inlineStr">
        <is>
          <t>Route to…</t>
        </is>
      </c>
      <c r="E26" s="90" t="inlineStr"/>
      <c r="F26" s="90" t="inlineStr"/>
    </row>
    <row r="27" ht="26" customHeight="1">
      <c r="A27" s="7" t="inlineStr"/>
      <c r="B27" s="7" t="inlineStr">
        <is>
          <t>'I'm worried that… / what if… / we've never done…'</t>
        </is>
      </c>
      <c r="C27" s="7" t="inlineStr">
        <is>
          <t>A risk (uncertain, future)</t>
        </is>
      </c>
      <c r="D27" s="7" t="inlineStr">
        <is>
          <t>⚠️ RAP in CEI form</t>
        </is>
      </c>
      <c r="E27" s="7" t="inlineStr"/>
      <c r="F27" s="7" t="inlineStr"/>
    </row>
    <row r="28" ht="26" customHeight="1">
      <c r="A28" s="7" t="inlineStr"/>
      <c r="B28" s="7" t="inlineStr">
        <is>
          <t>'X is broken / the vendor declined / we lost Y'</t>
        </is>
      </c>
      <c r="C28" s="7" t="inlineStr">
        <is>
          <t>An issue (true now)</t>
        </is>
      </c>
      <c r="D28" s="7" t="inlineStr">
        <is>
          <t>🚧 Issues Log (+ link risk if it realized one)</t>
        </is>
      </c>
      <c r="E28" s="7" t="inlineStr"/>
      <c r="F28" s="7" t="inlineStr"/>
    </row>
    <row r="29" ht="26" customHeight="1">
      <c r="A29" s="7" t="inlineStr"/>
      <c r="B29" s="7" t="inlineStr">
        <is>
          <t>'I will deliver X by &lt;date&gt;'</t>
        </is>
      </c>
      <c r="C29" s="7" t="inlineStr">
        <is>
          <t>A commitment</t>
        </is>
      </c>
      <c r="D29" s="7" t="inlineStr">
        <is>
          <t>📅 Weekly Schedule or ✅ Actions</t>
        </is>
      </c>
      <c r="E29" s="7" t="inlineStr"/>
      <c r="F29" s="7" t="inlineStr"/>
    </row>
    <row r="30" ht="26" customHeight="1">
      <c r="A30" s="7" t="inlineStr"/>
      <c r="B30" s="7" t="inlineStr">
        <is>
          <t>'I'll try / hopefully / should be fine'</t>
        </is>
      </c>
      <c r="C30" s="7" t="inlineStr">
        <is>
          <t>Language of hope — NOT a commitment</t>
        </is>
      </c>
      <c r="D30" s="7" t="inlineStr">
        <is>
          <t>Run summary: candidates to firm up</t>
        </is>
      </c>
      <c r="E30" s="7" t="inlineStr"/>
      <c r="F30" s="7" t="inlineStr"/>
    </row>
    <row r="31" ht="26" customHeight="1">
      <c r="A31" s="7" t="inlineStr"/>
      <c r="B31" s="7" t="inlineStr">
        <is>
          <t>'Let's go with B / we're cutting feature Z'</t>
        </is>
      </c>
      <c r="C31" s="7" t="inlineStr">
        <is>
          <t>A decision</t>
        </is>
      </c>
      <c r="D31" s="7" t="inlineStr">
        <is>
          <t>🧮 Decision Log (+ Statement IS/IS-NOT if pre-commitment)</t>
        </is>
      </c>
      <c r="E31" s="7" t="inlineStr"/>
      <c r="F31" s="7" t="inlineStr"/>
    </row>
    <row r="32" ht="26" customHeight="1">
      <c r="A32" s="7" t="inlineStr"/>
      <c r="B32" s="7" t="inlineStr">
        <is>
          <t>'Can someone take this?' … silence</t>
        </is>
      </c>
      <c r="C32" s="7" t="inlineStr">
        <is>
          <t>An unowned result</t>
        </is>
      </c>
      <c r="D32" s="7" t="inlineStr">
        <is>
          <t>RAP risk: unowned result, owner=UNASSIGNED ⚠</t>
        </is>
      </c>
      <c r="E32" s="7" t="inlineStr"/>
      <c r="F32" s="7" t="inlineStr"/>
    </row>
    <row r="33" ht="26" customHeight="1">
      <c r="A33" s="7" t="inlineStr"/>
      <c r="B33" s="7" t="inlineStr">
        <is>
          <t>'That's done / not done'</t>
        </is>
      </c>
      <c r="C33" s="7" t="inlineStr">
        <is>
          <t>A WAM score</t>
        </is>
      </c>
      <c r="D33" s="7" t="inlineStr">
        <is>
          <t>📅 Weekly Schedule scoring + 📊 Dashboard</t>
        </is>
      </c>
      <c r="E33" s="7" t="inlineStr"/>
      <c r="F33" s="7" t="inlineStr"/>
    </row>
    <row r="34" ht="26" customHeight="1">
      <c r="A34" s="7" t="inlineStr"/>
      <c r="B34" s="7" t="inlineStr">
        <is>
          <t>'I can't make Friday — proposing Tuesday' (said before Friday)</t>
        </is>
      </c>
      <c r="C34" s="7" t="inlineStr">
        <is>
          <t>A cleanup (integrity preserved)</t>
        </is>
      </c>
      <c r="D34" s="7" t="inlineStr">
        <is>
          <t>Actions: 'No — cleaned up early' + new row</t>
        </is>
      </c>
      <c r="E34" s="7" t="inlineStr"/>
      <c r="F34" s="7" t="inlineStr"/>
    </row>
  </sheetData>
  <mergeCells count="23">
    <mergeCell ref="A16:F16"/>
    <mergeCell ref="A12:F12"/>
    <mergeCell ref="A18:F18"/>
    <mergeCell ref="A21:F21"/>
    <mergeCell ref="A2:F2"/>
    <mergeCell ref="A14:F14"/>
    <mergeCell ref="A5:F5"/>
    <mergeCell ref="A23:F23"/>
    <mergeCell ref="A8:F8"/>
    <mergeCell ref="A22:F22"/>
    <mergeCell ref="A17:F17"/>
    <mergeCell ref="A4:F4"/>
    <mergeCell ref="A20:F20"/>
    <mergeCell ref="A10:F10"/>
    <mergeCell ref="A13:F13"/>
    <mergeCell ref="A19:F19"/>
    <mergeCell ref="A9:F9"/>
    <mergeCell ref="A15:F15"/>
    <mergeCell ref="A11:F11"/>
    <mergeCell ref="A1:F1"/>
    <mergeCell ref="A6:F6"/>
    <mergeCell ref="A7:F7"/>
    <mergeCell ref="A25:F25"/>
  </mergeCells>
  <pageMargins left="0.75" right="0.75" top="1" bottom="1" header="0.5" footer="0.5"/>
</worksheet>
</file>

<file path=xl/worksheets/sheet19.xml><?xml version="1.0" encoding="utf-8"?>
<worksheet xmlns="http://schemas.openxmlformats.org/spreadsheetml/2006/main">
  <sheetPr>
    <tabColor rgb="005B21B6"/>
    <outlinePr summaryBelow="1" summaryRight="1"/>
    <pageSetUpPr/>
  </sheetPr>
  <dimension ref="A1:F26"/>
  <sheetViews>
    <sheetView showGridLines="0" zoomScale="100" workbookViewId="0">
      <selection activeCell="A1" sqref="A1"/>
    </sheetView>
  </sheetViews>
  <sheetFormatPr baseColWidth="8" defaultRowHeight="15"/>
  <cols>
    <col width="4" customWidth="1" min="1" max="1"/>
    <col width="40" customWidth="1" min="2" max="2"/>
    <col width="40" customWidth="1" min="3" max="3"/>
    <col width="40" customWidth="1" min="4" max="4"/>
    <col width="40" customWidth="1" min="5" max="5"/>
    <col width="10" customWidth="1" min="6" max="6"/>
  </cols>
  <sheetData>
    <row r="1" ht="40" customHeight="1">
      <c r="A1" s="86" t="inlineStr">
        <is>
          <t>📧  AI · Email Ingestion</t>
        </is>
      </c>
      <c r="B1" s="87" t="n"/>
      <c r="C1" s="87" t="n"/>
      <c r="D1" s="87" t="n"/>
      <c r="E1" s="87" t="n"/>
      <c r="F1" s="87" t="n"/>
    </row>
    <row r="2" ht="22" customHeight="1">
      <c r="A2" s="88" t="inlineStr">
        <is>
          <t>Prompt instructions for extracting email threads (and chat exports) into this workbook.</t>
        </is>
      </c>
      <c r="B2" s="87" t="n"/>
      <c r="C2" s="87" t="n"/>
      <c r="D2" s="87" t="n"/>
      <c r="E2" s="87" t="n"/>
      <c r="F2" s="87" t="n"/>
    </row>
    <row r="4" ht="24" customHeight="1">
      <c r="A4" s="89" t="inlineStr">
        <is>
          <t>📨  The prompt (give this to an AI agent along with the email batch)</t>
        </is>
      </c>
      <c r="B4" s="87" t="n"/>
      <c r="C4" s="87" t="n"/>
      <c r="D4" s="87" t="n"/>
      <c r="E4" s="87" t="n"/>
      <c r="F4" s="87" t="n"/>
    </row>
    <row r="5" ht="15" customHeight="1">
      <c r="A5" s="20" t="inlineStr">
        <is>
          <t>── BEGIN PROMPT ──</t>
        </is>
      </c>
    </row>
    <row r="6" ht="71.25" customHeight="1">
      <c r="A6" s="20" t="inlineStr">
        <is>
          <t>You are the RUF ingestion agent for this project. You have been given one or more email threads (or chat exports). Extract every RUF-relevant object into this workbook per 🤖 AI · Framework Context and 🤖 AI · Workbook Schema. Emails differ from meetings: they are asynchronous, partial, and often contain soft commitments and buried risks — read the WHOLE thread (quoted history too) before writing anything, and process threads chronologically so later messages supersede earlier ones.</t>
        </is>
      </c>
    </row>
    <row r="7" ht="15" customHeight="1">
      <c r="A7" s="20" t="inlineStr"/>
    </row>
    <row r="8" ht="42.75" customHeight="1">
      <c r="A8" s="20" t="inlineStr">
        <is>
          <t>STEP 1 — THREAD TRIAGE. For each thread capture: participants (map to 👥 Team List names; note outsiders as stakeholders), date range, and topic. Skip threads with zero project relevance, but list them as skipped in your run summary with one-line reasons.</t>
        </is>
      </c>
    </row>
    <row r="9" ht="15" customHeight="1">
      <c r="A9" s="20" t="inlineStr"/>
    </row>
    <row r="10" ht="85.5" customHeight="1">
      <c r="A10" s="20" t="inlineStr">
        <is>
          <t>STEP 2 — COMMITMENT MINING. Emails are where commitments hide. Extract: explicit promises ('I'll send the contract Thursday'), accepted requests ('Can you…?' → 'Yes, by EOW'), and vendor/customer commitments (record the company AND the named person). Apply the commitment-vs-hope filter strictly: 'we should be able to' is hope, not commitment. Route dated deliverables to 📅 Weekly Schedule (weekly-grained) or ✅ Actions (task-grained, Source = thread subject + date). An unanswered request for commitment is itself a risk (CAUSE: request sent on &lt;date&gt; with no reply as of &lt;date&gt;).</t>
        </is>
      </c>
    </row>
    <row r="11" ht="15" customHeight="1">
      <c r="A11" s="20" t="inlineStr"/>
    </row>
    <row r="12" ht="57" customHeight="1">
      <c r="A12" s="20" t="inlineStr">
        <is>
          <t>STEP 3 — RISK MINING. Scan for: slipping vendor dates, budget/legal/compliance flags, resource conflicts ('I'm pulled onto the other launch'), technical doubts, dependency news, customer signals. Convert to CEI form; deduplicate against ⚠️ RAP; new risks get next R-###, Status=Open, Date identified = email date, Owner only on evidenced assent, else UNASSIGNED ⚠. Quote the decisive sentence in Notes with [verbatim].</t>
        </is>
      </c>
    </row>
    <row r="13" ht="15" customHeight="1">
      <c r="A13" s="20" t="inlineStr"/>
    </row>
    <row r="14" ht="71.25" customHeight="1">
      <c r="A14" s="20" t="inlineStr">
        <is>
          <t>STEP 4 — ISSUES, DECISIONS, TEAM CHANGES. Facts already true ('the shipment is stuck in customs') ⇒ 🚧 Issues Log; decisions ('approved', 'we're going with vendor A', sign-offs) ⇒ 🧮 Decision Log with Decided by = the sender with authority; staffing news ⇒ 👥 Team List (+ coverage gaps ⇒ RAP). Date changes agreed over email are cleanups: update ✅ Actions / 📅 Weekly Schedule per the cleanup rules (never edit the original committed date; new row with Carry-over of).</t>
        </is>
      </c>
    </row>
    <row r="15" ht="15" customHeight="1">
      <c r="A15" s="20" t="inlineStr"/>
    </row>
    <row r="16" ht="57" customHeight="1">
      <c r="A16" s="20" t="inlineStr">
        <is>
          <t>STEP 5 — CONFLICT &amp; STALENESS CHECK. Where an email contradicts the workbook (different date, different owner, scope drift), do NOT overwrite silently: keep the workbook value, add the email's version to Notes as [ambiguous — check], and list the conflict prominently in your run summary. Post-commitment scope changes discovered in email always get flagged 'Statement edit needed — post-commitment change'.</t>
        </is>
      </c>
    </row>
    <row r="17" ht="15" customHeight="1">
      <c r="A17" s="20" t="inlineStr"/>
    </row>
    <row r="18" ht="42.75" customHeight="1">
      <c r="A18" s="20" t="inlineStr">
        <is>
          <t>STEP 6 — RUN SUMMARY for the PM: threads processed/skipped; objects written per sheet with IDs; conflicts found; unanswered commitment-requests; hope-language candidates to firm up at the next WAM; UNASSIGNED ⚠ owners. Provenance marker on every touched row: ⟦AI: … | email:&lt;thread-subject&gt;/&lt;date&gt; | …⟧.</t>
        </is>
      </c>
    </row>
    <row r="19" ht="15" customHeight="1">
      <c r="A19" s="20" t="inlineStr">
        <is>
          <t>── END PROMPT ──</t>
        </is>
      </c>
    </row>
    <row r="21" ht="24" customHeight="1">
      <c r="A21" s="89" t="inlineStr">
        <is>
          <t>⚠️  Email-specific cautions</t>
        </is>
      </c>
      <c r="B21" s="87" t="n"/>
      <c r="C21" s="87" t="n"/>
      <c r="D21" s="87" t="n"/>
      <c r="E21" s="87" t="n"/>
      <c r="F21" s="87" t="n"/>
    </row>
    <row r="22" ht="15" customHeight="1">
      <c r="A22" s="20" t="inlineStr">
        <is>
          <t>• Quoted history repeats content — extract each fact ONCE, from its original message date.</t>
        </is>
      </c>
    </row>
    <row r="23" ht="28.5" customHeight="1">
      <c r="A23" s="20" t="inlineStr">
        <is>
          <t>• 'Reply-all courtesy agreement' ('sounds good!') is assent to the PLAN, not necessarily a personal commitment to a deliverable — record a commitment only for the person who owns the deliverable.</t>
        </is>
      </c>
    </row>
    <row r="24" ht="28.5" customHeight="1">
      <c r="A24" s="20" t="inlineStr">
        <is>
          <t>• Forwarded external mail (vendors, customers, legal) is high-value risk ore; the sender forwarding it often signals concern even without commentary — check for an implicit risk.</t>
        </is>
      </c>
    </row>
    <row r="25" ht="15" customHeight="1">
      <c r="A25" s="20" t="inlineStr">
        <is>
          <t>• Out-of-office replies against a committed date = a scheduling risk; record it.</t>
        </is>
      </c>
    </row>
    <row r="26" ht="42.75" customHeight="1">
      <c r="A26" s="20" t="inlineStr">
        <is>
          <t>• Emails have no facilitator: nobody asked the standing question. End every email-ingestion run by asking it yourself — 'based on everything ingested, what is the most likely reason this project will fail?' — and file your answer as an AI-suggested CEI draft.</t>
        </is>
      </c>
    </row>
  </sheetData>
  <mergeCells count="24">
    <mergeCell ref="A16:F16"/>
    <mergeCell ref="A12:F12"/>
    <mergeCell ref="A18:F18"/>
    <mergeCell ref="A26:F26"/>
    <mergeCell ref="A21:F21"/>
    <mergeCell ref="A2:F2"/>
    <mergeCell ref="A14:F14"/>
    <mergeCell ref="A5:F5"/>
    <mergeCell ref="A23:F23"/>
    <mergeCell ref="A8:F8"/>
    <mergeCell ref="A22:F22"/>
    <mergeCell ref="A17:F17"/>
    <mergeCell ref="A4:F4"/>
    <mergeCell ref="A10:F10"/>
    <mergeCell ref="A13:F13"/>
    <mergeCell ref="A19:F19"/>
    <mergeCell ref="A9:F9"/>
    <mergeCell ref="A15:F15"/>
    <mergeCell ref="A24:F24"/>
    <mergeCell ref="A11:F11"/>
    <mergeCell ref="A1:F1"/>
    <mergeCell ref="A6:F6"/>
    <mergeCell ref="A7:F7"/>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RUF Toolkit</dc:creator>
  <dc:title>Risk Up Front — Project Mega Workbook</dc:title>
  <dc:description>Templatized Risk Up Front (RUF) project workbook: all four RUF documents plus supporting artifacts, dashboard, and AI-agent context &amp; ingestion prompts.</dc:description>
  <dcterms:created xsi:type="dcterms:W3CDTF">2026-07-02T15:00:30Z</dcterms:created>
  <dcterms:modified xsi:type="dcterms:W3CDTF">2026-07-02T15:00:31Z</dcterms:modified>
</cp:coreProperties>
</file>